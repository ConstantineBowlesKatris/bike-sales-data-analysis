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wattsa-my.sharepoint.com/personal/cbowleskatris_watt_com_gr/Documents/Επιφάνεια εργασίας/EXCEL PORTFOLIO FILES/$ 003 DATA_ANALYSIS/"/>
    </mc:Choice>
  </mc:AlternateContent>
  <xr:revisionPtr revIDLastSave="353" documentId="8_{ABC04089-7769-4E43-9915-B025B1F01043}" xr6:coauthVersionLast="47" xr6:coauthVersionMax="47" xr10:uidLastSave="{C8376F48-AD7F-4BFA-9414-08FC147C83EA}"/>
  <bookViews>
    <workbookView xWindow="-108" yWindow="-108" windowWidth="23256" windowHeight="13176" xr2:uid="{00000000-000D-0000-FFFF-FFFF00000000}"/>
  </bookViews>
  <sheets>
    <sheet name="Dashboard" sheetId="3" r:id="rId1"/>
    <sheet name="raw_data" sheetId="2" r:id="rId2"/>
    <sheet name="bike_buyers_wroking_sheet" sheetId="1" r:id="rId3"/>
    <sheet name="Pivot_Tables" sheetId="4" r:id="rId4"/>
  </sheets>
  <definedNames>
    <definedName name="_xlnm._FilterDatabase" localSheetId="2" hidden="1">bike_buyers_wroking_sheet!$A$1:$N$1</definedName>
    <definedName name="_xlnm._FilterDatabase" localSheetId="1" hidden="1">raw_data!$A$1:$M$1001</definedName>
    <definedName name="Slicer_Cars">#N/A</definedName>
    <definedName name="Slicer_Children">#N/A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<sst xmlns="http://schemas.openxmlformats.org/spreadsheetml/2006/main" count="16274" uniqueCount="50">
  <si>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</si>
  <si>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</si>
  <si>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</si>
  <si>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</si>
  <si>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</si>
  <si>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</si>
  <si>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</si>
  <si>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</si>
  <si>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</si>
  <si>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</si>
  <si>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</si>
  <si>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</si>
  <si>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</si>
  <si>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</si>
  <si>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</si>
  <si>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</si>
  <si>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</si>
  <si>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</si>
  <si>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</si>
  <si>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</si>
  <si>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</si>
  <si>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</si>
  <si>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</si>
  <si>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</si>
  <si>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</si>
  <si>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</si>
  <si>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</si>
  <si>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</si>
  <si>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</si>
  <si>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</si>
  <si>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</si>
  <si>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</si>
  <si>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</si>
  <si>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</si>
  <si>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</si>
  <si>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</si>
  <si>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</si>
  <si>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</si>
  <si>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</si>
  <si>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</si>
  <si>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Age_Brackets</t>
  </si>
  <si>
    <t>Row Labels</t>
  </si>
  <si>
    <t>Grand Total</t>
  </si>
  <si>
    <t>Average of Income</t>
  </si>
  <si>
    <t>Column Labels</t>
  </si>
  <si>
    <t>Count of Purchased Bike</t>
  </si>
  <si>
    <t>Middle_Age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</si>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</sst>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[Bike_Sales_Data_Analysis.xlsx]Pivot_Tables!PivotTable1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 Income Per Purchase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Pivot_Tables!$B$2:$B$3</c:f>
              <c:strCache>
                <c:ptCount val="1"/>
                <c:pt idx="0">
                  <c:v>No</c:v>
                </c:pt>
              </c:strCache>
            </c:strRef>
          </c:tx>
          <c:spPr>
            <a:solidFill>
              <a:schemeClr val="accent1"/>
            </a:solidFill>
            <a:ln>
              <a:noFill/>
            </a:ln>
            <a:effectLst/>
          </c:spPr>
          <c:invertIfNegative val="0"/>
          <c:cat>
            <c:strRef>
              <c:f>Pivot_Tables!$A$4:$A$6</c:f>
              <c:strCache>
                <c:ptCount val="2"/>
                <c:pt idx="0">
                  <c:v>Female</c:v>
                </c:pt>
                <c:pt idx="1">
                  <c:v>Male</c:v>
                </c:pt>
              </c:strCache>
            </c:strRef>
          </c:cat>
          <c:val>
            <c:numRef>
              <c:f>Pivot_Tables!$B$4:$B$6</c:f>
              <c:numCache>
                <c:formatCode>[$$-409]#,##0</c:formatCode>
                <c:ptCount val="2"/>
                <c:pt idx="0">
                  <c:v>53440</c:v>
                </c:pt>
                <c:pt idx="1">
                  <c:v>56208.178438661707</c:v>
                </c:pt>
              </c:numCache>
            </c:numRef>
          </c:val>
          <c:extLst>
            <c:ext xmlns:c16="http://schemas.microsoft.com/office/drawing/2014/chart" uri="{C3380CC4-5D6E-409C-BE32-E72D297353CC}">
              <c16:uniqueId val="{00000000-7B4A-4A00-B785-7A384F14410F}"/>
            </c:ext>
          </c:extLst>
        </c:ser>
        <c:ser>
          <c:idx val="1"/>
          <c:order val="1"/>
          <c:tx>
            <c:strRef>
              <c:f>Pivot_Tables!$C$2:$C$3</c:f>
              <c:strCache>
                <c:ptCount val="1"/>
                <c:pt idx="0">
                  <c:v>Yes</c:v>
                </c:pt>
              </c:strCache>
            </c:strRef>
          </c:tx>
          <c:spPr>
            <a:solidFill>
              <a:schemeClr val="accent2"/>
            </a:solidFill>
            <a:ln>
              <a:noFill/>
            </a:ln>
            <a:effectLst/>
          </c:spPr>
          <c:invertIfNegative val="0"/>
          <c:cat>
            <c:strRef>
              <c:f>Pivot_Tables!$A$4:$A$6</c:f>
              <c:strCache>
                <c:ptCount val="2"/>
                <c:pt idx="0">
                  <c:v>Female</c:v>
                </c:pt>
                <c:pt idx="1">
                  <c:v>Male</c:v>
                </c:pt>
              </c:strCache>
            </c:strRef>
          </c:cat>
          <c:val>
            <c:numRef>
              <c:f>Pivot_Tables!$C$4:$C$6</c:f>
              <c:numCache>
                <c:formatCode>[$$-409]#,##0</c:formatCode>
                <c:ptCount val="2"/>
                <c:pt idx="0">
                  <c:v>55774.058577405856</c:v>
                </c:pt>
                <c:pt idx="1">
                  <c:v>60123.966942148763</c:v>
                </c:pt>
              </c:numCache>
            </c:numRef>
          </c:val>
          <c:extLst>
            <c:ext xmlns:c16="http://schemas.microsoft.com/office/drawing/2014/chart" uri="{C3380CC4-5D6E-409C-BE32-E72D297353CC}">
              <c16:uniqueId val="{00000001-7B4A-4A00-B785-7A384F14410F}"/>
            </c:ext>
          </c:extLst>
        </c:ser>
        <c:dLbls>
          <c:showLegendKey val="0"/>
          <c:showVal val="0"/>
          <c:showCatName val="0"/>
          <c:showSerName val="0"/>
          <c:showPercent val="0"/>
          <c:showBubbleSize val="0"/>
        </c:dLbls>
        <c:gapWidth val="219"/>
        <c:overlap val="-27"/>
        <c:axId val="14107711"/>
        <c:axId val="10654751"/>
      </c:barChart>
      <c:catAx>
        <c:axId val="141077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Gender</a:t>
                </a:r>
              </a:p>
            </c:rich>
          </c:tx>
          <c:layout>
            <c:manualLayout>
              <c:xMode val="edge"/>
              <c:yMode val="edge"/>
              <c:x val="0.40873490813648294"/>
              <c:y val="0.7824788568095655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4751"/>
        <c:crosses val="autoZero"/>
        <c:auto val="1"/>
        <c:lblAlgn val="ctr"/>
        <c:lblOffset val="100"/>
        <c:noMultiLvlLbl val="0"/>
      </c:catAx>
      <c:valAx>
        <c:axId val="10654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77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[Bike_Sales_Data_Analysis.xlsx]Pivot_Tables!PivotTable2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Distance Per Person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Pivot_Tables!$B$18:$B$19</c:f>
              <c:strCache>
                <c:ptCount val="1"/>
                <c:pt idx="0">
                  <c:v>No</c:v>
                </c:pt>
              </c:strCache>
            </c:strRef>
          </c:tx>
          <c:spPr>
            <a:ln w="28575" cap="rnd">
              <a:solidFill>
                <a:schemeClr val="accent1"/>
              </a:solidFill>
              <a:round/>
            </a:ln>
            <a:effectLst/>
          </c:spPr>
          <c:marker>
            <c:symbol val="none"/>
          </c:marker>
          <c:cat>
            <c:strRef>
              <c:f>Pivot_Tables!$A$20:$A$25</c:f>
              <c:strCache>
                <c:ptCount val="5"/>
                <c:pt idx="0">
                  <c:v>0-1 Miles</c:v>
                </c:pt>
                <c:pt idx="1">
                  <c:v>1-2 Miles</c:v>
                </c:pt>
                <c:pt idx="2">
                  <c:v>2-5 Miles</c:v>
                </c:pt>
                <c:pt idx="3">
                  <c:v>5-10 Miles</c:v>
                </c:pt>
                <c:pt idx="4">
                  <c:v>10+ Miles</c:v>
                </c:pt>
              </c:strCache>
            </c:strRef>
          </c:cat>
          <c:val>
            <c:numRef>
              <c:f>Pivot_Tables!$B$20:$B$25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5B4-4665-B755-61C9C1BF56AF}"/>
            </c:ext>
          </c:extLst>
        </c:ser>
        <c:ser>
          <c:idx val="1"/>
          <c:order val="1"/>
          <c:tx>
            <c:strRef>
              <c:f>Pivot_Tables!$C$18:$C$19</c:f>
              <c:strCache>
                <c:ptCount val="1"/>
                <c:pt idx="0">
                  <c:v>Yes</c:v>
                </c:pt>
              </c:strCache>
            </c:strRef>
          </c:tx>
          <c:spPr>
            <a:ln w="28575" cap="rnd">
              <a:solidFill>
                <a:schemeClr val="accent2"/>
              </a:solidFill>
              <a:round/>
            </a:ln>
            <a:effectLst/>
          </c:spPr>
          <c:marker>
            <c:symbol val="none"/>
          </c:marker>
          <c:cat>
            <c:strRef>
              <c:f>Pivot_Tables!$A$20:$A$25</c:f>
              <c:strCache>
                <c:ptCount val="5"/>
                <c:pt idx="0">
                  <c:v>0-1 Miles</c:v>
                </c:pt>
                <c:pt idx="1">
                  <c:v>1-2 Miles</c:v>
                </c:pt>
                <c:pt idx="2">
                  <c:v>2-5 Miles</c:v>
                </c:pt>
                <c:pt idx="3">
                  <c:v>5-10 Miles</c:v>
                </c:pt>
                <c:pt idx="4">
                  <c:v>10+ Miles</c:v>
                </c:pt>
              </c:strCache>
            </c:strRef>
          </c:cat>
          <c:val>
            <c:numRef>
              <c:f>Pivot_Tables!$C$20:$C$25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5B4-4665-B755-61C9C1BF56AF}"/>
            </c:ext>
          </c:extLst>
        </c:ser>
        <c:dLbls>
          <c:showLegendKey val="0"/>
          <c:showVal val="0"/>
          <c:showCatName val="0"/>
          <c:showSerName val="0"/>
          <c:showPercent val="0"/>
          <c:showBubbleSize val="0"/>
        </c:dLbls>
        <c:smooth val="0"/>
        <c:axId val="178187280"/>
        <c:axId val="10651871"/>
      </c:lineChart>
      <c:catAx>
        <c:axId val="1781872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Commute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1871"/>
        <c:crosses val="autoZero"/>
        <c:auto val="1"/>
        <c:lblAlgn val="ctr"/>
        <c:lblOffset val="100"/>
        <c:noMultiLvlLbl val="0"/>
      </c:catAx>
      <c:valAx>
        <c:axId val="1065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Count of Y/N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[Bike_Sales_Data_Analysis.xlsx]Pivot_Tables!PivotTable3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Pivot_Tables!$A$36:$A$39</c:f>
              <c:strCache>
                <c:ptCount val="3"/>
                <c:pt idx="0">
                  <c:v>Adolescent 0-30</c:v>
                </c:pt>
                <c:pt idx="1">
                  <c:v>Middle_Age 31-54</c:v>
                </c:pt>
                <c:pt idx="2">
                  <c:v>Old 55+</c:v>
                </c:pt>
              </c:strCache>
            </c:strRef>
          </c:cat>
          <c:val>
            <c:numRef>
              <c:f>Pivot_Tables!$B$36:$B$39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CA2-415B-BA46-AF9FDB89A63E}"/>
            </c:ext>
          </c:extLst>
        </c:ser>
        <c:ser>
          <c:idx val="1"/>
          <c:order val="1"/>
          <c:tx>
            <c:strRef>
              <c:f>Pivot_Tables!$C$34:$C$35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Pivot_Tables!$A$36:$A$39</c:f>
              <c:strCache>
                <c:ptCount val="3"/>
                <c:pt idx="0">
                  <c:v>Adolescent 0-30</c:v>
                </c:pt>
                <c:pt idx="1">
                  <c:v>Middle_Age 31-54</c:v>
                </c:pt>
                <c:pt idx="2">
                  <c:v>Old 55+</c:v>
                </c:pt>
              </c:strCache>
            </c:strRef>
          </c:cat>
          <c:val>
            <c:numRef>
              <c:f>Pivot_Tables!$C$36:$C$39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CA2-415B-BA46-AF9FDB89A63E}"/>
            </c:ext>
          </c:extLst>
        </c:ser>
        <c:dLbls>
          <c:showLegendKey val="0"/>
          <c:showVal val="0"/>
          <c:showCatName val="0"/>
          <c:showSerName val="0"/>
          <c:showPercent val="0"/>
          <c:showBubbleSize val="0"/>
        </c:dLbls>
        <c:marker val="1"/>
        <c:smooth val="0"/>
        <c:axId val="390992448"/>
        <c:axId val="377256448"/>
      </c:lineChart>
      <c:catAx>
        <c:axId val="39099244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Bracket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56448"/>
        <c:crosses val="autoZero"/>
        <c:auto val="1"/>
        <c:lblAlgn val="ctr"/>
        <c:lblOffset val="100"/>
        <c:noMultiLvlLbl val="0"/>
      </c:catAx>
      <c:valAx>
        <c:axId val="37725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9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[Bike_Sales_Data_Analysis.xlsx]Pivot_Tables!PivotTable1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 Income Per Purchase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Pivot_Tables!$B$2:$B$3</c:f>
              <c:strCache>
                <c:ptCount val="1"/>
                <c:pt idx="0">
                  <c:v>No</c:v>
                </c:pt>
              </c:strCache>
            </c:strRef>
          </c:tx>
          <c:spPr>
            <a:solidFill>
              <a:schemeClr val="accent1"/>
            </a:solidFill>
            <a:ln>
              <a:noFill/>
            </a:ln>
            <a:effectLst/>
          </c:spPr>
          <c:invertIfNegative val="0"/>
          <c:cat>
            <c:strRef>
              <c:f>Pivot_Tables!$A$4:$A$6</c:f>
              <c:strCache>
                <c:ptCount val="2"/>
                <c:pt idx="0">
                  <c:v>Female</c:v>
                </c:pt>
                <c:pt idx="1">
                  <c:v>Male</c:v>
                </c:pt>
              </c:strCache>
            </c:strRef>
          </c:cat>
          <c:val>
            <c:numRef>
              <c:f>Pivot_Tables!$B$4:$B$6</c:f>
              <c:numCache>
                <c:formatCode>[$$-409]#,##0</c:formatCode>
                <c:ptCount val="2"/>
                <c:pt idx="0">
                  <c:v>53440</c:v>
                </c:pt>
                <c:pt idx="1">
                  <c:v>56208.178438661707</c:v>
                </c:pt>
              </c:numCache>
            </c:numRef>
          </c:val>
          <c:extLst>
            <c:ext xmlns:c16="http://schemas.microsoft.com/office/drawing/2014/chart" uri="{C3380CC4-5D6E-409C-BE32-E72D297353CC}">
              <c16:uniqueId val="{00000000-7B4A-4A00-B785-7A384F14410F}"/>
            </c:ext>
          </c:extLst>
        </c:ser>
        <c:ser>
          <c:idx val="1"/>
          <c:order val="1"/>
          <c:tx>
            <c:strRef>
              <c:f>Pivot_Tables!$C$2:$C$3</c:f>
              <c:strCache>
                <c:ptCount val="1"/>
                <c:pt idx="0">
                  <c:v>Yes</c:v>
                </c:pt>
              </c:strCache>
            </c:strRef>
          </c:tx>
          <c:spPr>
            <a:solidFill>
              <a:schemeClr val="accent2"/>
            </a:solidFill>
            <a:ln>
              <a:noFill/>
            </a:ln>
            <a:effectLst/>
          </c:spPr>
          <c:invertIfNegative val="0"/>
          <c:cat>
            <c:strRef>
              <c:f>Pivot_Tables!$A$4:$A$6</c:f>
              <c:strCache>
                <c:ptCount val="2"/>
                <c:pt idx="0">
                  <c:v>Female</c:v>
                </c:pt>
                <c:pt idx="1">
                  <c:v>Male</c:v>
                </c:pt>
              </c:strCache>
            </c:strRef>
          </c:cat>
          <c:val>
            <c:numRef>
              <c:f>Pivot_Tables!$C$4:$C$6</c:f>
              <c:numCache>
                <c:formatCode>[$$-409]#,##0</c:formatCode>
                <c:ptCount val="2"/>
                <c:pt idx="0">
                  <c:v>55774.058577405856</c:v>
                </c:pt>
                <c:pt idx="1">
                  <c:v>60123.966942148763</c:v>
                </c:pt>
              </c:numCache>
            </c:numRef>
          </c:val>
          <c:extLst>
            <c:ext xmlns:c16="http://schemas.microsoft.com/office/drawing/2014/chart" uri="{C3380CC4-5D6E-409C-BE32-E72D297353CC}">
              <c16:uniqueId val="{00000001-7B4A-4A00-B785-7A384F14410F}"/>
            </c:ext>
          </c:extLst>
        </c:ser>
        <c:dLbls>
          <c:showLegendKey val="0"/>
          <c:showVal val="0"/>
          <c:showCatName val="0"/>
          <c:showSerName val="0"/>
          <c:showPercent val="0"/>
          <c:showBubbleSize val="0"/>
        </c:dLbls>
        <c:gapWidth val="219"/>
        <c:overlap val="-27"/>
        <c:axId val="14107711"/>
        <c:axId val="10654751"/>
      </c:barChart>
      <c:catAx>
        <c:axId val="141077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Gender</a:t>
                </a:r>
              </a:p>
            </c:rich>
          </c:tx>
          <c:layout>
            <c:manualLayout>
              <c:xMode val="edge"/>
              <c:yMode val="edge"/>
              <c:x val="0.40873490813648294"/>
              <c:y val="0.7824788568095655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4751"/>
        <c:crosses val="autoZero"/>
        <c:auto val="1"/>
        <c:lblAlgn val="ctr"/>
        <c:lblOffset val="100"/>
        <c:noMultiLvlLbl val="0"/>
      </c:catAx>
      <c:valAx>
        <c:axId val="10654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77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[Bike_Sales_Data_Analysis.xlsx]Pivot_Tables!PivotTable2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Distance Per Person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Pivot_Tables!$B$18:$B$19</c:f>
              <c:strCache>
                <c:ptCount val="1"/>
                <c:pt idx="0">
                  <c:v>No</c:v>
                </c:pt>
              </c:strCache>
            </c:strRef>
          </c:tx>
          <c:spPr>
            <a:ln w="28575" cap="rnd">
              <a:solidFill>
                <a:schemeClr val="accent1"/>
              </a:solidFill>
              <a:round/>
            </a:ln>
            <a:effectLst/>
          </c:spPr>
          <c:marker>
            <c:symbol val="none"/>
          </c:marker>
          <c:cat>
            <c:strRef>
              <c:f>Pivot_Tables!$A$20:$A$25</c:f>
              <c:strCache>
                <c:ptCount val="5"/>
                <c:pt idx="0">
                  <c:v>0-1 Miles</c:v>
                </c:pt>
                <c:pt idx="1">
                  <c:v>1-2 Miles</c:v>
                </c:pt>
                <c:pt idx="2">
                  <c:v>2-5 Miles</c:v>
                </c:pt>
                <c:pt idx="3">
                  <c:v>5-10 Miles</c:v>
                </c:pt>
                <c:pt idx="4">
                  <c:v>10+ Miles</c:v>
                </c:pt>
              </c:strCache>
            </c:strRef>
          </c:cat>
          <c:val>
            <c:numRef>
              <c:f>Pivot_Tables!$B$20:$B$25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9CD-4149-B82D-FD778AA38F79}"/>
            </c:ext>
          </c:extLst>
        </c:ser>
        <c:ser>
          <c:idx val="1"/>
          <c:order val="1"/>
          <c:tx>
            <c:strRef>
              <c:f>Pivot_Tables!$C$18:$C$19</c:f>
              <c:strCache>
                <c:ptCount val="1"/>
                <c:pt idx="0">
                  <c:v>Yes</c:v>
                </c:pt>
              </c:strCache>
            </c:strRef>
          </c:tx>
          <c:spPr>
            <a:ln w="28575" cap="rnd">
              <a:solidFill>
                <a:schemeClr val="accent2"/>
              </a:solidFill>
              <a:round/>
            </a:ln>
            <a:effectLst/>
          </c:spPr>
          <c:marker>
            <c:symbol val="none"/>
          </c:marker>
          <c:cat>
            <c:strRef>
              <c:f>Pivot_Tables!$A$20:$A$25</c:f>
              <c:strCache>
                <c:ptCount val="5"/>
                <c:pt idx="0">
                  <c:v>0-1 Miles</c:v>
                </c:pt>
                <c:pt idx="1">
                  <c:v>1-2 Miles</c:v>
                </c:pt>
                <c:pt idx="2">
                  <c:v>2-5 Miles</c:v>
                </c:pt>
                <c:pt idx="3">
                  <c:v>5-10 Miles</c:v>
                </c:pt>
                <c:pt idx="4">
                  <c:v>10+ Miles</c:v>
                </c:pt>
              </c:strCache>
            </c:strRef>
          </c:cat>
          <c:val>
            <c:numRef>
              <c:f>Pivot_Tables!$C$20:$C$25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9CD-4149-B82D-FD778AA38F79}"/>
            </c:ext>
          </c:extLst>
        </c:ser>
        <c:dLbls>
          <c:showLegendKey val="0"/>
          <c:showVal val="0"/>
          <c:showCatName val="0"/>
          <c:showSerName val="0"/>
          <c:showPercent val="0"/>
          <c:showBubbleSize val="0"/>
        </c:dLbls>
        <c:smooth val="0"/>
        <c:axId val="178187280"/>
        <c:axId val="10651871"/>
      </c:lineChart>
      <c:catAx>
        <c:axId val="1781872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Commute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1871"/>
        <c:crosses val="autoZero"/>
        <c:auto val="1"/>
        <c:lblAlgn val="ctr"/>
        <c:lblOffset val="100"/>
        <c:noMultiLvlLbl val="0"/>
      </c:catAx>
      <c:valAx>
        <c:axId val="1065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Count of Y/N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[Bike_Sales_Data_Analysis.xlsx]Pivot_Tables!PivotTable3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Pivot_Tables!$A$36:$A$39</c:f>
              <c:strCache>
                <c:ptCount val="3"/>
                <c:pt idx="0">
                  <c:v>Adolescent 0-30</c:v>
                </c:pt>
                <c:pt idx="1">
                  <c:v>Middle_Age 31-54</c:v>
                </c:pt>
                <c:pt idx="2">
                  <c:v>Old 55+</c:v>
                </c:pt>
              </c:strCache>
            </c:strRef>
          </c:cat>
          <c:val>
            <c:numRef>
              <c:f>Pivot_Tables!$B$36:$B$39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B18-443C-9557-27CFB06C3EBD}"/>
            </c:ext>
          </c:extLst>
        </c:ser>
        <c:ser>
          <c:idx val="1"/>
          <c:order val="1"/>
          <c:tx>
            <c:strRef>
              <c:f>Pivot_Tables!$C$34:$C$35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Pivot_Tables!$A$36:$A$39</c:f>
              <c:strCache>
                <c:ptCount val="3"/>
                <c:pt idx="0">
                  <c:v>Adolescent 0-30</c:v>
                </c:pt>
                <c:pt idx="1">
                  <c:v>Middle_Age 31-54</c:v>
                </c:pt>
                <c:pt idx="2">
                  <c:v>Old 55+</c:v>
                </c:pt>
              </c:strCache>
            </c:strRef>
          </c:cat>
          <c:val>
            <c:numRef>
              <c:f>Pivot_Tables!$C$36:$C$39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B18-443C-9557-27CFB06C3EBD}"/>
            </c:ext>
          </c:extLst>
        </c:ser>
        <c:dLbls>
          <c:showLegendKey val="0"/>
          <c:showVal val="0"/>
          <c:showCatName val="0"/>
          <c:showSerName val="0"/>
          <c:showPercent val="0"/>
          <c:showBubbleSize val="0"/>
        </c:dLbls>
        <c:marker val="1"/>
        <c:smooth val="0"/>
        <c:axId val="390992448"/>
        <c:axId val="377256448"/>
      </c:lineChart>
      <c:catAx>
        <c:axId val="39099244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Bracket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56448"/>
        <c:crosses val="autoZero"/>
        <c:auto val="1"/>
        <c:lblAlgn val="ctr"/>
        <c:lblOffset val="100"/>
        <c:noMultiLvlLbl val="0"/>
      </c:catAx>
      <c:valAx>
        <c:axId val="37725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9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[Bike_Sales_Data_Analysis.xlsx]Pivot_Tables!PivotTable4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Pivot_Tables!$B$51:$B$104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484-44CB-95FF-51AC29CA433C}"/>
            </c:ext>
          </c:extLst>
        </c:ser>
        <c:ser>
          <c:idx val="1"/>
          <c:order val="1"/>
          <c:tx>
            <c:strRef>
              <c:f>Pivot_Tables!$C$49:$C$50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Pivot_Tables!$C$51:$C$104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484-44CB-95FF-51AC29CA433C}"/>
            </c:ext>
          </c:extLst>
        </c:ser>
        <c:dLbls>
          <c:showLegendKey val="0"/>
          <c:showVal val="0"/>
          <c:showCatName val="0"/>
          <c:showSerName val="0"/>
          <c:showPercent val="0"/>
          <c:showBubbleSize val="0"/>
        </c:dLbls>
        <c:marker val="1"/>
        <c:smooth val="0"/>
        <c:axId val="428647456"/>
        <c:axId val="377255488"/>
      </c:lineChart>
      <c:catAx>
        <c:axId val="42864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55488"/>
        <c:crosses val="autoZero"/>
        <c:auto val="1"/>
        <c:lblAlgn val="ctr"/>
        <c:lblOffset val="100"/>
        <c:noMultiLvlLbl val="0"/>
      </c:catAx>
      <c:valAx>
        <c:axId val="37725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64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106680</xdr:colOff>
      <xdr:row>6</xdr:row>
      <xdr:rowOff>7620</xdr:rowOff>
    </xdr:from>
    <xdr:to>
      <xdr:col>9</xdr:col>
      <xdr:colOff>289560</xdr:colOff>
      <xdr:row>21</xdr:row>
      <xdr:rowOff>7620</xdr:rowOff>
    </xdr:to>
    <xdr:graphicFrame macro="">
      <xdr:nvGraphicFramePr>
        <xdr:cNvPr id="2" name="Chart 1">
          <a:extLst>
            <a:ext uri="{FF2B5EF4-FFF2-40B4-BE49-F238E27FC236}">
              <a16:creationId xmlns:a16="http://schemas.microsoft.com/office/drawing/2014/main" id="{0219397E-CFB4-40C8-81FD-1F8D3F526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106680</xdr:colOff>
      <xdr:row>21</xdr:row>
      <xdr:rowOff>53340</xdr:rowOff>
    </xdr:from>
    <xdr:to>
      <xdr:col>15</xdr:col>
      <xdr:colOff>0</xdr:colOff>
      <xdr:row>35</xdr:row>
      <xdr:rowOff>167640</xdr:rowOff>
    </xdr:to>
    <xdr:graphicFrame macro="">
      <xdr:nvGraphicFramePr>
        <xdr:cNvPr id="3" name="Chart 2">
          <a:extLst>
            <a:ext uri="{FF2B5EF4-FFF2-40B4-BE49-F238E27FC236}">
              <a16:creationId xmlns:a16="http://schemas.microsoft.com/office/drawing/2014/main" id="{2EA61D46-0AC8-4D9B-923D-1983997B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251460</xdr:colOff>
      <xdr:row>6</xdr:row>
      <xdr:rowOff>7620</xdr:rowOff>
    </xdr:from>
    <xdr:to>
      <xdr:col>15</xdr:col>
      <xdr:colOff>0</xdr:colOff>
      <xdr:row>21</xdr:row>
      <xdr:rowOff>7620</xdr:rowOff>
    </xdr:to>
    <xdr:graphicFrame macro="">
      <xdr:nvGraphicFramePr>
        <xdr:cNvPr id="4" name="Chart 3">
          <a:extLst>
            <a:ext uri="{FF2B5EF4-FFF2-40B4-BE49-F238E27FC236}">
              <a16:creationId xmlns:a16="http://schemas.microsoft.com/office/drawing/2014/main" id="{5EC6BCDD-3363-4C04-80EC-72B9754DE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6</xdr:row>
      <xdr:rowOff>7620</xdr:rowOff>
    </xdr:from>
    <xdr:to>
      <xdr:col>3</xdr:col>
      <xdr:colOff>60960</xdr:colOff>
      <xdr:row>10</xdr:row>
      <xdr:rowOff>121920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6137F734-3E80-EAD1-62BB-D7D5225A5D3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0960" y="1104900"/>
              <a:ext cx="1828800" cy="845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31</xdr:row>
      <xdr:rowOff>53341</xdr:rowOff>
    </xdr:from>
    <xdr:to>
      <xdr:col>3</xdr:col>
      <xdr:colOff>60960</xdr:colOff>
      <xdr:row>36</xdr:row>
      <xdr:rowOff>0</xdr:rowOff>
    </xdr:to>
    <mc:AlternateContent xmlns:mc="http://schemas.openxmlformats.org/markup-compatibility/2006" xmlns:a14="http://schemas.microsoft.com/office/drawing/2010/main">
      <mc:Choice Requires="a14">
        <xdr:graphicFrame macro="">
          <xdr:nvGraphicFramePr>
            <xdr:cNvPr id="6" name="Children">
              <a:extLst>
                <a:ext uri="{FF2B5EF4-FFF2-40B4-BE49-F238E27FC236}">
                  <a16:creationId xmlns:a16="http://schemas.microsoft.com/office/drawing/2014/main" id="{FB086164-28DB-B232-BF9F-DBEBDB5212F9}"/>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60960" y="5722621"/>
              <a:ext cx="1828800" cy="861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16</xdr:row>
      <xdr:rowOff>137161</xdr:rowOff>
    </xdr:from>
    <xdr:to>
      <xdr:col>3</xdr:col>
      <xdr:colOff>60960</xdr:colOff>
      <xdr:row>23</xdr:row>
      <xdr:rowOff>129540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A446FD7F-FFEB-76D5-0151-F1E71904B5F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0960" y="3063241"/>
              <a:ext cx="1828800" cy="127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23</xdr:row>
      <xdr:rowOff>121921</xdr:rowOff>
    </xdr:from>
    <xdr:to>
      <xdr:col>3</xdr:col>
      <xdr:colOff>60960</xdr:colOff>
      <xdr:row>31</xdr:row>
      <xdr:rowOff>53340</xdr:rowOff>
    </xdr:to>
    <mc:AlternateContent xmlns:mc="http://schemas.openxmlformats.org/markup-compatibility/2006" xmlns:a14="http://schemas.microsoft.com/office/drawing/2010/main">
      <mc:Choice Requires="a14">
        <xdr:graphicFrame macro="">
          <xdr:nvGraphicFramePr>
            <xdr:cNvPr id="9" name="Cars">
              <a:extLst>
                <a:ext uri="{FF2B5EF4-FFF2-40B4-BE49-F238E27FC236}">
                  <a16:creationId xmlns:a16="http://schemas.microsoft.com/office/drawing/2014/main" id="{B864F971-870F-0669-7363-B568608DB45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60960" y="4328161"/>
              <a:ext cx="1828800" cy="1394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10</xdr:row>
      <xdr:rowOff>106681</xdr:rowOff>
    </xdr:from>
    <xdr:to>
      <xdr:col>3</xdr:col>
      <xdr:colOff>60960</xdr:colOff>
      <xdr:row>16</xdr:row>
      <xdr:rowOff>137161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7B78079-2099-5652-9E77-09386B3D22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960" y="1935481"/>
              <a:ext cx="182880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0</xdr:row>
      <xdr:rowOff>0</xdr:rowOff>
    </xdr:from>
    <xdr:to>
      <xdr:col>11</xdr:col>
      <xdr:colOff>487680</xdr:colOff>
      <xdr:row>15</xdr:row>
      <xdr:rowOff>0</xdr:rowOff>
    </xdr:to>
    <xdr:graphicFrame macro="">
      <xdr:nvGraphicFramePr>
        <xdr:cNvPr id="2" name="Chart 1">
          <a:extLst>
            <a:ext uri="{FF2B5EF4-FFF2-40B4-BE49-F238E27FC236}">
              <a16:creationId xmlns:a16="http://schemas.microsoft.com/office/drawing/2014/main" id="{903D91B2-2884-43A0-45C7-E6F629FE8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182880</xdr:colOff>
      <xdr:row>15</xdr:row>
      <xdr:rowOff>7620</xdr:rowOff>
    </xdr:from>
    <xdr:to>
      <xdr:col>11</xdr:col>
      <xdr:colOff>487680</xdr:colOff>
      <xdr:row>30</xdr:row>
      <xdr:rowOff>7620</xdr:rowOff>
    </xdr:to>
    <xdr:graphicFrame macro="">
      <xdr:nvGraphicFramePr>
        <xdr:cNvPr id="3" name="Chart 2">
          <a:extLst>
            <a:ext uri="{FF2B5EF4-FFF2-40B4-BE49-F238E27FC236}">
              <a16:creationId xmlns:a16="http://schemas.microsoft.com/office/drawing/2014/main" id="{8C6AED59-75B1-A0E4-3D64-2F78FBC99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167640</xdr:colOff>
      <xdr:row>30</xdr:row>
      <xdr:rowOff>30480</xdr:rowOff>
    </xdr:from>
    <xdr:to>
      <xdr:col>11</xdr:col>
      <xdr:colOff>472440</xdr:colOff>
      <xdr:row>45</xdr:row>
      <xdr:rowOff>30480</xdr:rowOff>
    </xdr:to>
    <xdr:graphicFrame macro="">
      <xdr:nvGraphicFramePr>
        <xdr:cNvPr id="4" name="Chart 3">
          <a:extLst>
            <a:ext uri="{FF2B5EF4-FFF2-40B4-BE49-F238E27FC236}">
              <a16:creationId xmlns:a16="http://schemas.microsoft.com/office/drawing/2014/main" id="{56B8809F-7687-93BE-1CD3-75F88A0FA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167640</xdr:colOff>
      <xdr:row>47</xdr:row>
      <xdr:rowOff>0</xdr:rowOff>
    </xdr:from>
    <xdr:to>
      <xdr:col>11</xdr:col>
      <xdr:colOff>472440</xdr:colOff>
      <xdr:row>62</xdr:row>
      <xdr:rowOff>0</xdr:rowOff>
    </xdr:to>
    <xdr:graphicFrame macro="">
      <xdr:nvGraphicFramePr>
        <xdr:cNvPr id="5" name="Chart 4">
          <a:extLst>
            <a:ext uri="{FF2B5EF4-FFF2-40B4-BE49-F238E27FC236}">
              <a16:creationId xmlns:a16="http://schemas.microsoft.com/office/drawing/2014/main" id="{99B73776-6875-9DE4-7EB3-67D92BE35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tinos Katris Bowles" refreshedDate="46210.579219791667" createdVersion="8" refreshedVersion="8" minRefreshableVersion="3" recordCount="1000" xr:uid="{2E143229-DFAB-4570-B821-EE213CF8EAEF}">
  <cacheSource type="worksheet">
    <worksheetSource ref="A1:N1001" sheet="bike_buyers_wro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s" numFmtId="0">
      <sharedItems count="6">
        <s v="Middle_Age 31-54"/>
        <s v="Old 55+"/>
        <s v="Adolescent 0-30"/>
        <s v="Middle_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7964133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x v="0"/>
    <x v="0"/>
    <x v="0"/>
    <x v="0"/>
    <x v="0"/>
    <x v="0"/>
  </r>
  <r>
    <n v="24107"/>
    <x v="0"/>
    <x v="1"/>
    <n v="30000"/>
    <x v="1"/>
    <x v="1"/>
    <s v="Clerical"/>
    <x v="0"/>
    <x v="1"/>
    <x v="0"/>
    <x v="0"/>
    <x v="1"/>
    <x v="0"/>
    <x v="0"/>
  </r>
  <r>
    <n v="14177"/>
    <x v="0"/>
    <x v="1"/>
    <n v="80000"/>
    <x v="2"/>
    <x v="1"/>
    <s v="Professional"/>
    <x v="1"/>
    <x v="2"/>
    <x v="1"/>
    <x v="0"/>
    <x v="2"/>
    <x v="1"/>
    <x v="0"/>
  </r>
  <r>
    <n v="24381"/>
    <x v="1"/>
    <x v="1"/>
    <n v="70000"/>
    <x v="3"/>
    <x v="0"/>
    <s v="Professional"/>
    <x v="0"/>
    <x v="1"/>
    <x v="2"/>
    <x v="1"/>
    <x v="3"/>
    <x v="0"/>
    <x v="1"/>
  </r>
  <r>
    <n v="25597"/>
    <x v="1"/>
    <x v="1"/>
    <n v="30000"/>
    <x v="3"/>
    <x v="0"/>
    <s v="Clerical"/>
    <x v="1"/>
    <x v="0"/>
    <x v="0"/>
    <x v="0"/>
    <x v="4"/>
    <x v="0"/>
    <x v="1"/>
  </r>
  <r>
    <n v="13507"/>
    <x v="0"/>
    <x v="0"/>
    <n v="10000"/>
    <x v="4"/>
    <x v="1"/>
    <s v="Manual"/>
    <x v="0"/>
    <x v="0"/>
    <x v="3"/>
    <x v="0"/>
    <x v="5"/>
    <x v="0"/>
    <x v="0"/>
  </r>
  <r>
    <n v="27974"/>
    <x v="1"/>
    <x v="1"/>
    <n v="160000"/>
    <x v="4"/>
    <x v="2"/>
    <s v="Management"/>
    <x v="0"/>
    <x v="3"/>
    <x v="0"/>
    <x v="1"/>
    <x v="6"/>
    <x v="0"/>
    <x v="1"/>
  </r>
  <r>
    <n v="19364"/>
    <x v="0"/>
    <x v="1"/>
    <n v="40000"/>
    <x v="0"/>
    <x v="0"/>
    <s v="Skilled Manual"/>
    <x v="0"/>
    <x v="0"/>
    <x v="0"/>
    <x v="0"/>
    <x v="1"/>
    <x v="0"/>
    <x v="1"/>
  </r>
  <r>
    <n v="22155"/>
    <x v="0"/>
    <x v="1"/>
    <n v="20000"/>
    <x v="4"/>
    <x v="3"/>
    <s v="Clerical"/>
    <x v="0"/>
    <x v="2"/>
    <x v="2"/>
    <x v="1"/>
    <x v="7"/>
    <x v="1"/>
    <x v="0"/>
  </r>
  <r>
    <n v="19280"/>
    <x v="0"/>
    <x v="1"/>
    <n v="120000"/>
    <x v="4"/>
    <x v="1"/>
    <s v="Manual"/>
    <x v="0"/>
    <x v="1"/>
    <x v="0"/>
    <x v="0"/>
    <x v="8"/>
    <x v="0"/>
    <x v="1"/>
  </r>
  <r>
    <n v="22173"/>
    <x v="0"/>
    <x v="0"/>
    <n v="30000"/>
    <x v="1"/>
    <x v="2"/>
    <s v="Skilled Manual"/>
    <x v="1"/>
    <x v="2"/>
    <x v="3"/>
    <x v="1"/>
    <x v="9"/>
    <x v="0"/>
    <x v="1"/>
  </r>
  <r>
    <n v="12697"/>
    <x v="1"/>
    <x v="0"/>
    <n v="90000"/>
    <x v="3"/>
    <x v="0"/>
    <s v="Professional"/>
    <x v="1"/>
    <x v="3"/>
    <x v="4"/>
    <x v="1"/>
    <x v="4"/>
    <x v="0"/>
    <x v="0"/>
  </r>
  <r>
    <n v="11434"/>
    <x v="0"/>
    <x v="1"/>
    <n v="170000"/>
    <x v="2"/>
    <x v="1"/>
    <s v="Professional"/>
    <x v="0"/>
    <x v="0"/>
    <x v="0"/>
    <x v="0"/>
    <x v="10"/>
    <x v="1"/>
    <x v="0"/>
  </r>
  <r>
    <n v="25323"/>
    <x v="0"/>
    <x v="1"/>
    <n v="40000"/>
    <x v="4"/>
    <x v="1"/>
    <s v="Clerical"/>
    <x v="0"/>
    <x v="1"/>
    <x v="3"/>
    <x v="0"/>
    <x v="11"/>
    <x v="0"/>
    <x v="1"/>
  </r>
  <r>
    <n v="23542"/>
    <x v="1"/>
    <x v="1"/>
    <n v="60000"/>
    <x v="0"/>
    <x v="1"/>
    <s v="Skilled Manual"/>
    <x v="1"/>
    <x v="1"/>
    <x v="0"/>
    <x v="1"/>
    <x v="12"/>
    <x v="0"/>
    <x v="1"/>
  </r>
  <r>
    <n v="20870"/>
    <x v="1"/>
    <x v="0"/>
    <n v="10000"/>
    <x v="4"/>
    <x v="2"/>
    <s v="Manual"/>
    <x v="0"/>
    <x v="1"/>
    <x v="0"/>
    <x v="0"/>
    <x v="13"/>
    <x v="0"/>
    <x v="1"/>
  </r>
  <r>
    <n v="23316"/>
    <x v="1"/>
    <x v="1"/>
    <n v="30000"/>
    <x v="1"/>
    <x v="1"/>
    <s v="Clerical"/>
    <x v="1"/>
    <x v="2"/>
    <x v="3"/>
    <x v="1"/>
    <x v="14"/>
    <x v="1"/>
    <x v="1"/>
  </r>
  <r>
    <n v="12610"/>
    <x v="0"/>
    <x v="0"/>
    <n v="30000"/>
    <x v="0"/>
    <x v="0"/>
    <s v="Clerical"/>
    <x v="0"/>
    <x v="0"/>
    <x v="0"/>
    <x v="0"/>
    <x v="15"/>
    <x v="0"/>
    <x v="0"/>
  </r>
  <r>
    <n v="27183"/>
    <x v="1"/>
    <x v="1"/>
    <n v="40000"/>
    <x v="4"/>
    <x v="1"/>
    <s v="Clerical"/>
    <x v="0"/>
    <x v="1"/>
    <x v="3"/>
    <x v="0"/>
    <x v="11"/>
    <x v="0"/>
    <x v="1"/>
  </r>
  <r>
    <n v="25940"/>
    <x v="1"/>
    <x v="1"/>
    <n v="20000"/>
    <x v="4"/>
    <x v="3"/>
    <s v="Clerical"/>
    <x v="0"/>
    <x v="2"/>
    <x v="2"/>
    <x v="1"/>
    <x v="10"/>
    <x v="1"/>
    <x v="1"/>
  </r>
  <r>
    <n v="25598"/>
    <x v="0"/>
    <x v="0"/>
    <n v="40000"/>
    <x v="3"/>
    <x v="4"/>
    <s v="Clerical"/>
    <x v="0"/>
    <x v="0"/>
    <x v="0"/>
    <x v="0"/>
    <x v="4"/>
    <x v="0"/>
    <x v="1"/>
  </r>
  <r>
    <n v="21564"/>
    <x v="1"/>
    <x v="0"/>
    <n v="80000"/>
    <x v="3"/>
    <x v="0"/>
    <s v="Professional"/>
    <x v="0"/>
    <x v="3"/>
    <x v="4"/>
    <x v="1"/>
    <x v="11"/>
    <x v="0"/>
    <x v="0"/>
  </r>
  <r>
    <n v="19193"/>
    <x v="1"/>
    <x v="1"/>
    <n v="40000"/>
    <x v="4"/>
    <x v="1"/>
    <s v="Clerical"/>
    <x v="0"/>
    <x v="0"/>
    <x v="3"/>
    <x v="0"/>
    <x v="11"/>
    <x v="0"/>
    <x v="1"/>
  </r>
  <r>
    <n v="26412"/>
    <x v="0"/>
    <x v="0"/>
    <n v="80000"/>
    <x v="2"/>
    <x v="2"/>
    <s v="Management"/>
    <x v="1"/>
    <x v="4"/>
    <x v="2"/>
    <x v="0"/>
    <x v="16"/>
    <x v="1"/>
    <x v="0"/>
  </r>
  <r>
    <n v="27184"/>
    <x v="1"/>
    <x v="1"/>
    <n v="40000"/>
    <x v="4"/>
    <x v="1"/>
    <s v="Clerical"/>
    <x v="1"/>
    <x v="1"/>
    <x v="0"/>
    <x v="0"/>
    <x v="17"/>
    <x v="0"/>
    <x v="0"/>
  </r>
  <r>
    <n v="12590"/>
    <x v="1"/>
    <x v="1"/>
    <n v="30000"/>
    <x v="0"/>
    <x v="0"/>
    <s v="Clerical"/>
    <x v="0"/>
    <x v="0"/>
    <x v="0"/>
    <x v="0"/>
    <x v="18"/>
    <x v="1"/>
    <x v="0"/>
  </r>
  <r>
    <n v="17841"/>
    <x v="1"/>
    <x v="1"/>
    <n v="30000"/>
    <x v="3"/>
    <x v="1"/>
    <s v="Clerical"/>
    <x v="1"/>
    <x v="1"/>
    <x v="0"/>
    <x v="0"/>
    <x v="19"/>
    <x v="2"/>
    <x v="1"/>
  </r>
  <r>
    <n v="18283"/>
    <x v="1"/>
    <x v="0"/>
    <n v="100000"/>
    <x v="3"/>
    <x v="0"/>
    <s v="Professional"/>
    <x v="1"/>
    <x v="1"/>
    <x v="2"/>
    <x v="1"/>
    <x v="8"/>
    <x v="0"/>
    <x v="0"/>
  </r>
  <r>
    <n v="18299"/>
    <x v="0"/>
    <x v="1"/>
    <n v="70000"/>
    <x v="2"/>
    <x v="1"/>
    <s v="Skilled Manual"/>
    <x v="0"/>
    <x v="2"/>
    <x v="2"/>
    <x v="1"/>
    <x v="20"/>
    <x v="0"/>
    <x v="0"/>
  </r>
  <r>
    <n v="16466"/>
    <x v="1"/>
    <x v="0"/>
    <n v="20000"/>
    <x v="3"/>
    <x v="3"/>
    <s v="Manual"/>
    <x v="1"/>
    <x v="2"/>
    <x v="0"/>
    <x v="0"/>
    <x v="21"/>
    <x v="0"/>
    <x v="1"/>
  </r>
  <r>
    <n v="19273"/>
    <x v="0"/>
    <x v="0"/>
    <n v="20000"/>
    <x v="4"/>
    <x v="1"/>
    <s v="Manual"/>
    <x v="0"/>
    <x v="0"/>
    <x v="0"/>
    <x v="0"/>
    <x v="18"/>
    <x v="1"/>
    <x v="0"/>
  </r>
  <r>
    <n v="22400"/>
    <x v="0"/>
    <x v="1"/>
    <n v="10000"/>
    <x v="3"/>
    <x v="1"/>
    <s v="Manual"/>
    <x v="1"/>
    <x v="1"/>
    <x v="0"/>
    <x v="1"/>
    <x v="22"/>
    <x v="2"/>
    <x v="1"/>
  </r>
  <r>
    <n v="20942"/>
    <x v="1"/>
    <x v="0"/>
    <n v="20000"/>
    <x v="3"/>
    <x v="2"/>
    <s v="Manual"/>
    <x v="1"/>
    <x v="1"/>
    <x v="2"/>
    <x v="0"/>
    <x v="23"/>
    <x v="0"/>
    <x v="0"/>
  </r>
  <r>
    <n v="18484"/>
    <x v="1"/>
    <x v="1"/>
    <n v="80000"/>
    <x v="4"/>
    <x v="2"/>
    <s v="Skilled Manual"/>
    <x v="1"/>
    <x v="2"/>
    <x v="3"/>
    <x v="1"/>
    <x v="5"/>
    <x v="0"/>
    <x v="1"/>
  </r>
  <r>
    <n v="12291"/>
    <x v="1"/>
    <x v="1"/>
    <n v="90000"/>
    <x v="2"/>
    <x v="1"/>
    <s v="Professional"/>
    <x v="1"/>
    <x v="2"/>
    <x v="1"/>
    <x v="0"/>
    <x v="24"/>
    <x v="1"/>
    <x v="1"/>
  </r>
  <r>
    <n v="28380"/>
    <x v="1"/>
    <x v="0"/>
    <n v="10000"/>
    <x v="2"/>
    <x v="3"/>
    <s v="Manual"/>
    <x v="1"/>
    <x v="2"/>
    <x v="0"/>
    <x v="0"/>
    <x v="3"/>
    <x v="0"/>
    <x v="0"/>
  </r>
  <r>
    <n v="17891"/>
    <x v="0"/>
    <x v="0"/>
    <n v="10000"/>
    <x v="4"/>
    <x v="1"/>
    <s v="Manual"/>
    <x v="0"/>
    <x v="1"/>
    <x v="0"/>
    <x v="0"/>
    <x v="5"/>
    <x v="0"/>
    <x v="1"/>
  </r>
  <r>
    <n v="27832"/>
    <x v="1"/>
    <x v="0"/>
    <n v="30000"/>
    <x v="3"/>
    <x v="1"/>
    <s v="Clerical"/>
    <x v="1"/>
    <x v="1"/>
    <x v="1"/>
    <x v="0"/>
    <x v="25"/>
    <x v="2"/>
    <x v="0"/>
  </r>
  <r>
    <n v="26863"/>
    <x v="1"/>
    <x v="1"/>
    <n v="20000"/>
    <x v="3"/>
    <x v="2"/>
    <s v="Manual"/>
    <x v="1"/>
    <x v="1"/>
    <x v="1"/>
    <x v="0"/>
    <x v="26"/>
    <x v="2"/>
    <x v="0"/>
  </r>
  <r>
    <n v="16259"/>
    <x v="1"/>
    <x v="0"/>
    <n v="10000"/>
    <x v="5"/>
    <x v="3"/>
    <s v="Manual"/>
    <x v="0"/>
    <x v="2"/>
    <x v="0"/>
    <x v="0"/>
    <x v="8"/>
    <x v="0"/>
    <x v="1"/>
  </r>
  <r>
    <n v="27803"/>
    <x v="1"/>
    <x v="0"/>
    <n v="30000"/>
    <x v="4"/>
    <x v="1"/>
    <s v="Clerical"/>
    <x v="1"/>
    <x v="0"/>
    <x v="0"/>
    <x v="0"/>
    <x v="1"/>
    <x v="0"/>
    <x v="0"/>
  </r>
  <r>
    <n v="14347"/>
    <x v="1"/>
    <x v="0"/>
    <n v="40000"/>
    <x v="4"/>
    <x v="0"/>
    <s v="Management"/>
    <x v="0"/>
    <x v="2"/>
    <x v="2"/>
    <x v="1"/>
    <x v="27"/>
    <x v="1"/>
    <x v="1"/>
  </r>
  <r>
    <n v="17703"/>
    <x v="0"/>
    <x v="0"/>
    <n v="10000"/>
    <x v="0"/>
    <x v="4"/>
    <s v="Manual"/>
    <x v="0"/>
    <x v="0"/>
    <x v="0"/>
    <x v="0"/>
    <x v="8"/>
    <x v="0"/>
    <x v="0"/>
  </r>
  <r>
    <n v="17185"/>
    <x v="0"/>
    <x v="0"/>
    <n v="170000"/>
    <x v="5"/>
    <x v="1"/>
    <s v="Professional"/>
    <x v="1"/>
    <x v="4"/>
    <x v="2"/>
    <x v="0"/>
    <x v="28"/>
    <x v="0"/>
    <x v="1"/>
  </r>
  <r>
    <n v="29380"/>
    <x v="0"/>
    <x v="0"/>
    <n v="20000"/>
    <x v="1"/>
    <x v="2"/>
    <s v="Manual"/>
    <x v="0"/>
    <x v="0"/>
    <x v="0"/>
    <x v="0"/>
    <x v="3"/>
    <x v="0"/>
    <x v="1"/>
  </r>
  <r>
    <n v="23986"/>
    <x v="0"/>
    <x v="0"/>
    <n v="20000"/>
    <x v="0"/>
    <x v="0"/>
    <s v="Clerical"/>
    <x v="0"/>
    <x v="0"/>
    <x v="0"/>
    <x v="0"/>
    <x v="29"/>
    <x v="1"/>
    <x v="1"/>
  </r>
  <r>
    <n v="24466"/>
    <x v="0"/>
    <x v="0"/>
    <n v="60000"/>
    <x v="0"/>
    <x v="1"/>
    <s v="Skilled Manual"/>
    <x v="0"/>
    <x v="1"/>
    <x v="2"/>
    <x v="1"/>
    <x v="30"/>
    <x v="0"/>
    <x v="1"/>
  </r>
  <r>
    <n v="29097"/>
    <x v="1"/>
    <x v="0"/>
    <n v="40000"/>
    <x v="4"/>
    <x v="1"/>
    <s v="Skilled Manual"/>
    <x v="0"/>
    <x v="2"/>
    <x v="2"/>
    <x v="1"/>
    <x v="31"/>
    <x v="0"/>
    <x v="1"/>
  </r>
  <r>
    <n v="19487"/>
    <x v="0"/>
    <x v="1"/>
    <n v="30000"/>
    <x v="4"/>
    <x v="1"/>
    <s v="Clerical"/>
    <x v="1"/>
    <x v="2"/>
    <x v="0"/>
    <x v="0"/>
    <x v="0"/>
    <x v="0"/>
    <x v="0"/>
  </r>
  <r>
    <n v="14939"/>
    <x v="1"/>
    <x v="1"/>
    <n v="40000"/>
    <x v="3"/>
    <x v="0"/>
    <s v="Clerical"/>
    <x v="0"/>
    <x v="0"/>
    <x v="0"/>
    <x v="0"/>
    <x v="32"/>
    <x v="0"/>
    <x v="1"/>
  </r>
  <r>
    <n v="13826"/>
    <x v="1"/>
    <x v="0"/>
    <n v="30000"/>
    <x v="3"/>
    <x v="1"/>
    <s v="Clerical"/>
    <x v="1"/>
    <x v="1"/>
    <x v="0"/>
    <x v="0"/>
    <x v="26"/>
    <x v="2"/>
    <x v="0"/>
  </r>
  <r>
    <n v="20619"/>
    <x v="1"/>
    <x v="1"/>
    <n v="80000"/>
    <x v="3"/>
    <x v="0"/>
    <s v="Professional"/>
    <x v="1"/>
    <x v="3"/>
    <x v="4"/>
    <x v="1"/>
    <x v="11"/>
    <x v="0"/>
    <x v="0"/>
  </r>
  <r>
    <n v="12558"/>
    <x v="0"/>
    <x v="0"/>
    <n v="20000"/>
    <x v="0"/>
    <x v="0"/>
    <s v="Clerical"/>
    <x v="0"/>
    <x v="0"/>
    <x v="0"/>
    <x v="0"/>
    <x v="27"/>
    <x v="1"/>
    <x v="0"/>
  </r>
  <r>
    <n v="24871"/>
    <x v="1"/>
    <x v="0"/>
    <n v="90000"/>
    <x v="5"/>
    <x v="2"/>
    <s v="Management"/>
    <x v="1"/>
    <x v="4"/>
    <x v="2"/>
    <x v="0"/>
    <x v="16"/>
    <x v="1"/>
    <x v="0"/>
  </r>
  <r>
    <n v="17319"/>
    <x v="1"/>
    <x v="0"/>
    <n v="70000"/>
    <x v="3"/>
    <x v="0"/>
    <s v="Professional"/>
    <x v="1"/>
    <x v="1"/>
    <x v="2"/>
    <x v="1"/>
    <x v="0"/>
    <x v="0"/>
    <x v="0"/>
  </r>
  <r>
    <n v="28906"/>
    <x v="0"/>
    <x v="1"/>
    <n v="80000"/>
    <x v="5"/>
    <x v="2"/>
    <s v="Professional"/>
    <x v="0"/>
    <x v="2"/>
    <x v="4"/>
    <x v="0"/>
    <x v="9"/>
    <x v="0"/>
    <x v="0"/>
  </r>
  <r>
    <n v="12808"/>
    <x v="0"/>
    <x v="1"/>
    <n v="40000"/>
    <x v="3"/>
    <x v="0"/>
    <s v="Clerical"/>
    <x v="0"/>
    <x v="0"/>
    <x v="0"/>
    <x v="0"/>
    <x v="13"/>
    <x v="0"/>
    <x v="1"/>
  </r>
  <r>
    <n v="20567"/>
    <x v="0"/>
    <x v="1"/>
    <n v="130000"/>
    <x v="5"/>
    <x v="1"/>
    <s v="Professional"/>
    <x v="1"/>
    <x v="3"/>
    <x v="2"/>
    <x v="0"/>
    <x v="33"/>
    <x v="1"/>
    <x v="1"/>
  </r>
  <r>
    <n v="25502"/>
    <x v="0"/>
    <x v="0"/>
    <n v="40000"/>
    <x v="0"/>
    <x v="0"/>
    <s v="Skilled Manual"/>
    <x v="0"/>
    <x v="0"/>
    <x v="0"/>
    <x v="0"/>
    <x v="1"/>
    <x v="0"/>
    <x v="1"/>
  </r>
  <r>
    <n v="15580"/>
    <x v="0"/>
    <x v="1"/>
    <n v="60000"/>
    <x v="4"/>
    <x v="0"/>
    <s v="Professional"/>
    <x v="0"/>
    <x v="1"/>
    <x v="1"/>
    <x v="1"/>
    <x v="13"/>
    <x v="0"/>
    <x v="1"/>
  </r>
  <r>
    <n v="24185"/>
    <x v="1"/>
    <x v="0"/>
    <n v="10000"/>
    <x v="0"/>
    <x v="2"/>
    <s v="Manual"/>
    <x v="1"/>
    <x v="1"/>
    <x v="3"/>
    <x v="0"/>
    <x v="12"/>
    <x v="0"/>
    <x v="0"/>
  </r>
  <r>
    <n v="19291"/>
    <x v="1"/>
    <x v="0"/>
    <n v="10000"/>
    <x v="4"/>
    <x v="2"/>
    <s v="Manual"/>
    <x v="0"/>
    <x v="0"/>
    <x v="0"/>
    <x v="0"/>
    <x v="11"/>
    <x v="0"/>
    <x v="0"/>
  </r>
  <r>
    <n v="16713"/>
    <x v="0"/>
    <x v="1"/>
    <n v="40000"/>
    <x v="4"/>
    <x v="0"/>
    <s v="Management"/>
    <x v="0"/>
    <x v="1"/>
    <x v="0"/>
    <x v="1"/>
    <x v="31"/>
    <x v="0"/>
    <x v="1"/>
  </r>
  <r>
    <n v="16185"/>
    <x v="1"/>
    <x v="1"/>
    <n v="60000"/>
    <x v="5"/>
    <x v="0"/>
    <s v="Professional"/>
    <x v="0"/>
    <x v="4"/>
    <x v="4"/>
    <x v="1"/>
    <x v="3"/>
    <x v="0"/>
    <x v="0"/>
  </r>
  <r>
    <n v="14927"/>
    <x v="0"/>
    <x v="0"/>
    <n v="30000"/>
    <x v="0"/>
    <x v="0"/>
    <s v="Clerical"/>
    <x v="0"/>
    <x v="0"/>
    <x v="0"/>
    <x v="0"/>
    <x v="34"/>
    <x v="0"/>
    <x v="1"/>
  </r>
  <r>
    <n v="29337"/>
    <x v="1"/>
    <x v="1"/>
    <n v="30000"/>
    <x v="4"/>
    <x v="1"/>
    <s v="Clerical"/>
    <x v="0"/>
    <x v="2"/>
    <x v="2"/>
    <x v="1"/>
    <x v="35"/>
    <x v="1"/>
    <x v="0"/>
  </r>
  <r>
    <n v="29355"/>
    <x v="0"/>
    <x v="0"/>
    <n v="40000"/>
    <x v="3"/>
    <x v="4"/>
    <s v="Clerical"/>
    <x v="0"/>
    <x v="0"/>
    <x v="0"/>
    <x v="0"/>
    <x v="34"/>
    <x v="0"/>
    <x v="1"/>
  </r>
  <r>
    <n v="25303"/>
    <x v="1"/>
    <x v="1"/>
    <n v="30000"/>
    <x v="3"/>
    <x v="2"/>
    <s v="Manual"/>
    <x v="0"/>
    <x v="1"/>
    <x v="1"/>
    <x v="0"/>
    <x v="6"/>
    <x v="0"/>
    <x v="1"/>
  </r>
  <r>
    <n v="14813"/>
    <x v="1"/>
    <x v="0"/>
    <n v="20000"/>
    <x v="5"/>
    <x v="2"/>
    <s v="Manual"/>
    <x v="0"/>
    <x v="1"/>
    <x v="0"/>
    <x v="0"/>
    <x v="1"/>
    <x v="0"/>
    <x v="1"/>
  </r>
  <r>
    <n v="16438"/>
    <x v="0"/>
    <x v="0"/>
    <n v="10000"/>
    <x v="3"/>
    <x v="3"/>
    <s v="Manual"/>
    <x v="1"/>
    <x v="2"/>
    <x v="0"/>
    <x v="0"/>
    <x v="25"/>
    <x v="2"/>
    <x v="0"/>
  </r>
  <r>
    <n v="14238"/>
    <x v="0"/>
    <x v="1"/>
    <n v="120000"/>
    <x v="3"/>
    <x v="3"/>
    <s v="Professional"/>
    <x v="0"/>
    <x v="3"/>
    <x v="4"/>
    <x v="1"/>
    <x v="4"/>
    <x v="0"/>
    <x v="1"/>
  </r>
  <r>
    <n v="16200"/>
    <x v="1"/>
    <x v="0"/>
    <n v="10000"/>
    <x v="3"/>
    <x v="3"/>
    <s v="Manual"/>
    <x v="1"/>
    <x v="2"/>
    <x v="0"/>
    <x v="0"/>
    <x v="11"/>
    <x v="0"/>
    <x v="0"/>
  </r>
  <r>
    <n v="24857"/>
    <x v="0"/>
    <x v="0"/>
    <n v="130000"/>
    <x v="1"/>
    <x v="2"/>
    <s v="Professional"/>
    <x v="0"/>
    <x v="3"/>
    <x v="0"/>
    <x v="0"/>
    <x v="31"/>
    <x v="0"/>
    <x v="0"/>
  </r>
  <r>
    <n v="26956"/>
    <x v="1"/>
    <x v="0"/>
    <n v="20000"/>
    <x v="3"/>
    <x v="1"/>
    <s v="Manual"/>
    <x v="1"/>
    <x v="1"/>
    <x v="1"/>
    <x v="0"/>
    <x v="4"/>
    <x v="0"/>
    <x v="1"/>
  </r>
  <r>
    <n v="14517"/>
    <x v="0"/>
    <x v="0"/>
    <n v="20000"/>
    <x v="1"/>
    <x v="2"/>
    <s v="Skilled Manual"/>
    <x v="1"/>
    <x v="2"/>
    <x v="3"/>
    <x v="1"/>
    <x v="24"/>
    <x v="1"/>
    <x v="0"/>
  </r>
  <r>
    <n v="12678"/>
    <x v="1"/>
    <x v="0"/>
    <n v="130000"/>
    <x v="5"/>
    <x v="2"/>
    <s v="Management"/>
    <x v="0"/>
    <x v="3"/>
    <x v="0"/>
    <x v="1"/>
    <x v="23"/>
    <x v="0"/>
    <x v="0"/>
  </r>
  <r>
    <n v="16188"/>
    <x v="1"/>
    <x v="0"/>
    <n v="20000"/>
    <x v="3"/>
    <x v="3"/>
    <s v="Manual"/>
    <x v="1"/>
    <x v="2"/>
    <x v="3"/>
    <x v="0"/>
    <x v="22"/>
    <x v="2"/>
    <x v="0"/>
  </r>
  <r>
    <n v="27969"/>
    <x v="0"/>
    <x v="1"/>
    <n v="80000"/>
    <x v="3"/>
    <x v="0"/>
    <s v="Professional"/>
    <x v="0"/>
    <x v="2"/>
    <x v="4"/>
    <x v="1"/>
    <x v="19"/>
    <x v="2"/>
    <x v="1"/>
  </r>
  <r>
    <n v="15752"/>
    <x v="0"/>
    <x v="1"/>
    <n v="80000"/>
    <x v="4"/>
    <x v="2"/>
    <s v="Skilled Manual"/>
    <x v="1"/>
    <x v="2"/>
    <x v="3"/>
    <x v="1"/>
    <x v="5"/>
    <x v="0"/>
    <x v="1"/>
  </r>
  <r>
    <n v="27745"/>
    <x v="1"/>
    <x v="1"/>
    <n v="40000"/>
    <x v="4"/>
    <x v="0"/>
    <s v="Management"/>
    <x v="0"/>
    <x v="2"/>
    <x v="2"/>
    <x v="1"/>
    <x v="18"/>
    <x v="1"/>
    <x v="1"/>
  </r>
  <r>
    <n v="20828"/>
    <x v="0"/>
    <x v="0"/>
    <n v="30000"/>
    <x v="5"/>
    <x v="4"/>
    <s v="Clerical"/>
    <x v="0"/>
    <x v="0"/>
    <x v="0"/>
    <x v="0"/>
    <x v="12"/>
    <x v="0"/>
    <x v="1"/>
  </r>
  <r>
    <n v="19461"/>
    <x v="1"/>
    <x v="0"/>
    <n v="10000"/>
    <x v="5"/>
    <x v="3"/>
    <s v="Manual"/>
    <x v="0"/>
    <x v="2"/>
    <x v="0"/>
    <x v="0"/>
    <x v="8"/>
    <x v="0"/>
    <x v="0"/>
  </r>
  <r>
    <n v="26941"/>
    <x v="0"/>
    <x v="1"/>
    <n v="30000"/>
    <x v="3"/>
    <x v="0"/>
    <s v="Clerical"/>
    <x v="0"/>
    <x v="0"/>
    <x v="0"/>
    <x v="0"/>
    <x v="15"/>
    <x v="0"/>
    <x v="1"/>
  </r>
  <r>
    <n v="28412"/>
    <x v="1"/>
    <x v="1"/>
    <n v="20000"/>
    <x v="3"/>
    <x v="2"/>
    <s v="Manual"/>
    <x v="1"/>
    <x v="1"/>
    <x v="1"/>
    <x v="0"/>
    <x v="19"/>
    <x v="2"/>
    <x v="0"/>
  </r>
  <r>
    <n v="24485"/>
    <x v="1"/>
    <x v="1"/>
    <n v="40000"/>
    <x v="4"/>
    <x v="0"/>
    <s v="Management"/>
    <x v="1"/>
    <x v="1"/>
    <x v="2"/>
    <x v="1"/>
    <x v="31"/>
    <x v="0"/>
    <x v="1"/>
  </r>
  <r>
    <n v="16514"/>
    <x v="1"/>
    <x v="1"/>
    <n v="10000"/>
    <x v="3"/>
    <x v="1"/>
    <s v="Manual"/>
    <x v="0"/>
    <x v="1"/>
    <x v="3"/>
    <x v="1"/>
    <x v="22"/>
    <x v="2"/>
    <x v="1"/>
  </r>
  <r>
    <n v="17191"/>
    <x v="1"/>
    <x v="1"/>
    <n v="130000"/>
    <x v="1"/>
    <x v="1"/>
    <s v="Professional"/>
    <x v="1"/>
    <x v="4"/>
    <x v="0"/>
    <x v="0"/>
    <x v="36"/>
    <x v="0"/>
    <x v="1"/>
  </r>
  <r>
    <n v="19608"/>
    <x v="0"/>
    <x v="1"/>
    <n v="80000"/>
    <x v="2"/>
    <x v="0"/>
    <s v="Professional"/>
    <x v="0"/>
    <x v="3"/>
    <x v="3"/>
    <x v="1"/>
    <x v="8"/>
    <x v="0"/>
    <x v="0"/>
  </r>
  <r>
    <n v="24119"/>
    <x v="1"/>
    <x v="1"/>
    <n v="30000"/>
    <x v="3"/>
    <x v="1"/>
    <s v="Clerical"/>
    <x v="1"/>
    <x v="1"/>
    <x v="1"/>
    <x v="0"/>
    <x v="19"/>
    <x v="2"/>
    <x v="0"/>
  </r>
  <r>
    <n v="25458"/>
    <x v="0"/>
    <x v="1"/>
    <n v="20000"/>
    <x v="0"/>
    <x v="2"/>
    <s v="Manual"/>
    <x v="1"/>
    <x v="1"/>
    <x v="3"/>
    <x v="0"/>
    <x v="8"/>
    <x v="0"/>
    <x v="1"/>
  </r>
  <r>
    <n v="26886"/>
    <x v="1"/>
    <x v="0"/>
    <n v="30000"/>
    <x v="3"/>
    <x v="1"/>
    <s v="Clerical"/>
    <x v="1"/>
    <x v="1"/>
    <x v="0"/>
    <x v="0"/>
    <x v="19"/>
    <x v="2"/>
    <x v="1"/>
  </r>
  <r>
    <n v="28436"/>
    <x v="1"/>
    <x v="1"/>
    <n v="30000"/>
    <x v="3"/>
    <x v="1"/>
    <s v="Clerical"/>
    <x v="1"/>
    <x v="1"/>
    <x v="0"/>
    <x v="0"/>
    <x v="25"/>
    <x v="2"/>
    <x v="1"/>
  </r>
  <r>
    <n v="19562"/>
    <x v="1"/>
    <x v="0"/>
    <n v="60000"/>
    <x v="4"/>
    <x v="0"/>
    <s v="Professional"/>
    <x v="0"/>
    <x v="1"/>
    <x v="1"/>
    <x v="1"/>
    <x v="34"/>
    <x v="0"/>
    <x v="1"/>
  </r>
  <r>
    <n v="15608"/>
    <x v="1"/>
    <x v="0"/>
    <n v="30000"/>
    <x v="3"/>
    <x v="1"/>
    <s v="Clerical"/>
    <x v="1"/>
    <x v="1"/>
    <x v="1"/>
    <x v="0"/>
    <x v="6"/>
    <x v="0"/>
    <x v="0"/>
  </r>
  <r>
    <n v="16487"/>
    <x v="1"/>
    <x v="0"/>
    <n v="30000"/>
    <x v="1"/>
    <x v="2"/>
    <s v="Skilled Manual"/>
    <x v="0"/>
    <x v="2"/>
    <x v="2"/>
    <x v="1"/>
    <x v="10"/>
    <x v="1"/>
    <x v="0"/>
  </r>
  <r>
    <n v="17197"/>
    <x v="1"/>
    <x v="0"/>
    <n v="90000"/>
    <x v="2"/>
    <x v="1"/>
    <s v="Professional"/>
    <x v="0"/>
    <x v="2"/>
    <x v="4"/>
    <x v="0"/>
    <x v="24"/>
    <x v="1"/>
    <x v="0"/>
  </r>
  <r>
    <n v="12507"/>
    <x v="0"/>
    <x v="1"/>
    <n v="30000"/>
    <x v="0"/>
    <x v="1"/>
    <s v="Clerical"/>
    <x v="0"/>
    <x v="1"/>
    <x v="0"/>
    <x v="0"/>
    <x v="1"/>
    <x v="0"/>
    <x v="0"/>
  </r>
  <r>
    <n v="23940"/>
    <x v="0"/>
    <x v="1"/>
    <n v="40000"/>
    <x v="0"/>
    <x v="0"/>
    <s v="Skilled Manual"/>
    <x v="0"/>
    <x v="1"/>
    <x v="0"/>
    <x v="0"/>
    <x v="20"/>
    <x v="0"/>
    <x v="1"/>
  </r>
  <r>
    <n v="19441"/>
    <x v="0"/>
    <x v="1"/>
    <n v="40000"/>
    <x v="3"/>
    <x v="4"/>
    <s v="Clerical"/>
    <x v="0"/>
    <x v="0"/>
    <x v="0"/>
    <x v="0"/>
    <x v="37"/>
    <x v="2"/>
    <x v="1"/>
  </r>
  <r>
    <n v="26852"/>
    <x v="0"/>
    <x v="0"/>
    <n v="20000"/>
    <x v="1"/>
    <x v="2"/>
    <s v="Manual"/>
    <x v="0"/>
    <x v="2"/>
    <x v="0"/>
    <x v="0"/>
    <x v="1"/>
    <x v="0"/>
    <x v="0"/>
  </r>
  <r>
    <n v="12274"/>
    <x v="1"/>
    <x v="1"/>
    <n v="10000"/>
    <x v="4"/>
    <x v="2"/>
    <s v="Manual"/>
    <x v="0"/>
    <x v="0"/>
    <x v="0"/>
    <x v="0"/>
    <x v="11"/>
    <x v="0"/>
    <x v="0"/>
  </r>
  <r>
    <n v="20236"/>
    <x v="1"/>
    <x v="1"/>
    <n v="60000"/>
    <x v="1"/>
    <x v="0"/>
    <s v="Professional"/>
    <x v="1"/>
    <x v="2"/>
    <x v="0"/>
    <x v="1"/>
    <x v="1"/>
    <x v="0"/>
    <x v="1"/>
  </r>
  <r>
    <n v="24149"/>
    <x v="0"/>
    <x v="1"/>
    <n v="10000"/>
    <x v="4"/>
    <x v="1"/>
    <s v="Manual"/>
    <x v="0"/>
    <x v="0"/>
    <x v="3"/>
    <x v="0"/>
    <x v="38"/>
    <x v="0"/>
    <x v="0"/>
  </r>
  <r>
    <n v="26139"/>
    <x v="1"/>
    <x v="1"/>
    <n v="60000"/>
    <x v="0"/>
    <x v="1"/>
    <s v="Skilled Manual"/>
    <x v="0"/>
    <x v="1"/>
    <x v="2"/>
    <x v="1"/>
    <x v="12"/>
    <x v="0"/>
    <x v="0"/>
  </r>
  <r>
    <n v="18491"/>
    <x v="1"/>
    <x v="0"/>
    <n v="70000"/>
    <x v="4"/>
    <x v="2"/>
    <s v="Professional"/>
    <x v="0"/>
    <x v="2"/>
    <x v="2"/>
    <x v="1"/>
    <x v="38"/>
    <x v="0"/>
    <x v="1"/>
  </r>
  <r>
    <n v="22707"/>
    <x v="1"/>
    <x v="0"/>
    <n v="30000"/>
    <x v="3"/>
    <x v="1"/>
    <s v="Clerical"/>
    <x v="1"/>
    <x v="1"/>
    <x v="1"/>
    <x v="0"/>
    <x v="25"/>
    <x v="2"/>
    <x v="0"/>
  </r>
  <r>
    <n v="20430"/>
    <x v="0"/>
    <x v="1"/>
    <n v="70000"/>
    <x v="4"/>
    <x v="1"/>
    <s v="Skilled Manual"/>
    <x v="0"/>
    <x v="2"/>
    <x v="2"/>
    <x v="1"/>
    <x v="31"/>
    <x v="0"/>
    <x v="1"/>
  </r>
  <r>
    <n v="27494"/>
    <x v="1"/>
    <x v="0"/>
    <n v="40000"/>
    <x v="4"/>
    <x v="1"/>
    <s v="Skilled Manual"/>
    <x v="1"/>
    <x v="2"/>
    <x v="3"/>
    <x v="1"/>
    <x v="39"/>
    <x v="0"/>
    <x v="1"/>
  </r>
  <r>
    <n v="26829"/>
    <x v="0"/>
    <x v="0"/>
    <n v="40000"/>
    <x v="3"/>
    <x v="0"/>
    <s v="Clerical"/>
    <x v="0"/>
    <x v="0"/>
    <x v="0"/>
    <x v="0"/>
    <x v="13"/>
    <x v="0"/>
    <x v="1"/>
  </r>
  <r>
    <n v="28395"/>
    <x v="1"/>
    <x v="1"/>
    <n v="40000"/>
    <x v="3"/>
    <x v="0"/>
    <s v="Professional"/>
    <x v="1"/>
    <x v="0"/>
    <x v="0"/>
    <x v="0"/>
    <x v="32"/>
    <x v="0"/>
    <x v="1"/>
  </r>
  <r>
    <n v="21006"/>
    <x v="1"/>
    <x v="0"/>
    <n v="30000"/>
    <x v="0"/>
    <x v="1"/>
    <s v="Manual"/>
    <x v="1"/>
    <x v="0"/>
    <x v="0"/>
    <x v="0"/>
    <x v="30"/>
    <x v="0"/>
    <x v="1"/>
  </r>
  <r>
    <n v="14682"/>
    <x v="1"/>
    <x v="0"/>
    <n v="70000"/>
    <x v="3"/>
    <x v="0"/>
    <s v="Professional"/>
    <x v="1"/>
    <x v="1"/>
    <x v="2"/>
    <x v="1"/>
    <x v="13"/>
    <x v="0"/>
    <x v="0"/>
  </r>
  <r>
    <n v="17650"/>
    <x v="1"/>
    <x v="0"/>
    <n v="40000"/>
    <x v="4"/>
    <x v="1"/>
    <s v="Clerical"/>
    <x v="0"/>
    <x v="2"/>
    <x v="3"/>
    <x v="0"/>
    <x v="11"/>
    <x v="0"/>
    <x v="0"/>
  </r>
  <r>
    <n v="29191"/>
    <x v="1"/>
    <x v="0"/>
    <n v="130000"/>
    <x v="0"/>
    <x v="4"/>
    <s v="Management"/>
    <x v="1"/>
    <x v="1"/>
    <x v="0"/>
    <x v="1"/>
    <x v="4"/>
    <x v="0"/>
    <x v="1"/>
  </r>
  <r>
    <n v="15030"/>
    <x v="0"/>
    <x v="1"/>
    <n v="20000"/>
    <x v="3"/>
    <x v="0"/>
    <s v="Clerical"/>
    <x v="0"/>
    <x v="0"/>
    <x v="0"/>
    <x v="1"/>
    <x v="22"/>
    <x v="2"/>
    <x v="1"/>
  </r>
  <r>
    <n v="24140"/>
    <x v="1"/>
    <x v="1"/>
    <n v="10000"/>
    <x v="3"/>
    <x v="4"/>
    <s v="Manual"/>
    <x v="1"/>
    <x v="0"/>
    <x v="0"/>
    <x v="0"/>
    <x v="25"/>
    <x v="2"/>
    <x v="1"/>
  </r>
  <r>
    <n v="22496"/>
    <x v="0"/>
    <x v="0"/>
    <n v="30000"/>
    <x v="0"/>
    <x v="0"/>
    <s v="Skilled Manual"/>
    <x v="0"/>
    <x v="2"/>
    <x v="0"/>
    <x v="0"/>
    <x v="0"/>
    <x v="0"/>
    <x v="0"/>
  </r>
  <r>
    <n v="24065"/>
    <x v="1"/>
    <x v="0"/>
    <n v="20000"/>
    <x v="3"/>
    <x v="2"/>
    <s v="Manual"/>
    <x v="0"/>
    <x v="0"/>
    <x v="0"/>
    <x v="0"/>
    <x v="8"/>
    <x v="0"/>
    <x v="1"/>
  </r>
  <r>
    <n v="19914"/>
    <x v="0"/>
    <x v="1"/>
    <n v="80000"/>
    <x v="2"/>
    <x v="0"/>
    <s v="Management"/>
    <x v="0"/>
    <x v="2"/>
    <x v="1"/>
    <x v="0"/>
    <x v="24"/>
    <x v="1"/>
    <x v="0"/>
  </r>
  <r>
    <n v="12871"/>
    <x v="1"/>
    <x v="0"/>
    <n v="30000"/>
    <x v="3"/>
    <x v="1"/>
    <s v="Clerical"/>
    <x v="1"/>
    <x v="1"/>
    <x v="1"/>
    <x v="0"/>
    <x v="19"/>
    <x v="2"/>
    <x v="0"/>
  </r>
  <r>
    <n v="22988"/>
    <x v="0"/>
    <x v="0"/>
    <n v="40000"/>
    <x v="4"/>
    <x v="0"/>
    <s v="Management"/>
    <x v="0"/>
    <x v="2"/>
    <x v="2"/>
    <x v="1"/>
    <x v="29"/>
    <x v="1"/>
    <x v="1"/>
  </r>
  <r>
    <n v="15922"/>
    <x v="0"/>
    <x v="1"/>
    <n v="150000"/>
    <x v="4"/>
    <x v="2"/>
    <s v="Professional"/>
    <x v="0"/>
    <x v="3"/>
    <x v="0"/>
    <x v="0"/>
    <x v="28"/>
    <x v="0"/>
    <x v="0"/>
  </r>
  <r>
    <n v="12344"/>
    <x v="1"/>
    <x v="0"/>
    <n v="80000"/>
    <x v="3"/>
    <x v="0"/>
    <s v="Professional"/>
    <x v="1"/>
    <x v="4"/>
    <x v="4"/>
    <x v="1"/>
    <x v="23"/>
    <x v="0"/>
    <x v="0"/>
  </r>
  <r>
    <n v="23627"/>
    <x v="1"/>
    <x v="0"/>
    <n v="100000"/>
    <x v="1"/>
    <x v="1"/>
    <s v="Management"/>
    <x v="1"/>
    <x v="3"/>
    <x v="2"/>
    <x v="0"/>
    <x v="16"/>
    <x v="1"/>
    <x v="0"/>
  </r>
  <r>
    <n v="27775"/>
    <x v="1"/>
    <x v="0"/>
    <n v="40000"/>
    <x v="3"/>
    <x v="0"/>
    <s v="Clerical"/>
    <x v="1"/>
    <x v="0"/>
    <x v="0"/>
    <x v="0"/>
    <x v="13"/>
    <x v="0"/>
    <x v="1"/>
  </r>
  <r>
    <n v="29301"/>
    <x v="0"/>
    <x v="1"/>
    <n v="80000"/>
    <x v="2"/>
    <x v="0"/>
    <s v="Professional"/>
    <x v="0"/>
    <x v="3"/>
    <x v="3"/>
    <x v="1"/>
    <x v="8"/>
    <x v="0"/>
    <x v="0"/>
  </r>
  <r>
    <n v="12716"/>
    <x v="1"/>
    <x v="1"/>
    <n v="30000"/>
    <x v="3"/>
    <x v="1"/>
    <s v="Clerical"/>
    <x v="0"/>
    <x v="1"/>
    <x v="1"/>
    <x v="0"/>
    <x v="21"/>
    <x v="0"/>
    <x v="0"/>
  </r>
  <r>
    <n v="12472"/>
    <x v="0"/>
    <x v="1"/>
    <n v="30000"/>
    <x v="0"/>
    <x v="0"/>
    <s v="Clerical"/>
    <x v="0"/>
    <x v="1"/>
    <x v="1"/>
    <x v="0"/>
    <x v="32"/>
    <x v="0"/>
    <x v="0"/>
  </r>
  <r>
    <n v="20970"/>
    <x v="1"/>
    <x v="1"/>
    <n v="10000"/>
    <x v="4"/>
    <x v="1"/>
    <s v="Manual"/>
    <x v="0"/>
    <x v="1"/>
    <x v="0"/>
    <x v="0"/>
    <x v="31"/>
    <x v="0"/>
    <x v="1"/>
  </r>
  <r>
    <n v="26818"/>
    <x v="1"/>
    <x v="1"/>
    <n v="10000"/>
    <x v="1"/>
    <x v="2"/>
    <s v="Manual"/>
    <x v="0"/>
    <x v="1"/>
    <x v="0"/>
    <x v="0"/>
    <x v="32"/>
    <x v="0"/>
    <x v="1"/>
  </r>
  <r>
    <n v="12993"/>
    <x v="0"/>
    <x v="1"/>
    <n v="60000"/>
    <x v="4"/>
    <x v="0"/>
    <s v="Professional"/>
    <x v="0"/>
    <x v="1"/>
    <x v="1"/>
    <x v="1"/>
    <x v="34"/>
    <x v="0"/>
    <x v="0"/>
  </r>
  <r>
    <n v="14192"/>
    <x v="0"/>
    <x v="1"/>
    <n v="90000"/>
    <x v="5"/>
    <x v="2"/>
    <s v="Management"/>
    <x v="0"/>
    <x v="4"/>
    <x v="2"/>
    <x v="0"/>
    <x v="16"/>
    <x v="1"/>
    <x v="1"/>
  </r>
  <r>
    <n v="19477"/>
    <x v="0"/>
    <x v="1"/>
    <n v="40000"/>
    <x v="3"/>
    <x v="0"/>
    <s v="Professional"/>
    <x v="0"/>
    <x v="0"/>
    <x v="0"/>
    <x v="0"/>
    <x v="8"/>
    <x v="0"/>
    <x v="1"/>
  </r>
  <r>
    <n v="26796"/>
    <x v="1"/>
    <x v="1"/>
    <n v="40000"/>
    <x v="4"/>
    <x v="0"/>
    <s v="Management"/>
    <x v="0"/>
    <x v="2"/>
    <x v="2"/>
    <x v="1"/>
    <x v="27"/>
    <x v="1"/>
    <x v="1"/>
  </r>
  <r>
    <n v="21094"/>
    <x v="1"/>
    <x v="0"/>
    <n v="30000"/>
    <x v="4"/>
    <x v="1"/>
    <s v="Clerical"/>
    <x v="0"/>
    <x v="2"/>
    <x v="0"/>
    <x v="0"/>
    <x v="0"/>
    <x v="0"/>
    <x v="0"/>
  </r>
  <r>
    <n v="12234"/>
    <x v="0"/>
    <x v="1"/>
    <n v="10000"/>
    <x v="4"/>
    <x v="1"/>
    <s v="Manual"/>
    <x v="0"/>
    <x v="1"/>
    <x v="1"/>
    <x v="0"/>
    <x v="31"/>
    <x v="0"/>
    <x v="0"/>
  </r>
  <r>
    <n v="28683"/>
    <x v="1"/>
    <x v="0"/>
    <n v="10000"/>
    <x v="0"/>
    <x v="2"/>
    <s v="Manual"/>
    <x v="1"/>
    <x v="1"/>
    <x v="2"/>
    <x v="0"/>
    <x v="11"/>
    <x v="0"/>
    <x v="1"/>
  </r>
  <r>
    <n v="17994"/>
    <x v="1"/>
    <x v="1"/>
    <n v="20000"/>
    <x v="4"/>
    <x v="2"/>
    <s v="Manual"/>
    <x v="0"/>
    <x v="2"/>
    <x v="0"/>
    <x v="0"/>
    <x v="0"/>
    <x v="0"/>
    <x v="0"/>
  </r>
  <r>
    <n v="24273"/>
    <x v="0"/>
    <x v="0"/>
    <n v="20000"/>
    <x v="4"/>
    <x v="3"/>
    <s v="Clerical"/>
    <x v="0"/>
    <x v="2"/>
    <x v="2"/>
    <x v="1"/>
    <x v="10"/>
    <x v="1"/>
    <x v="1"/>
  </r>
  <r>
    <n v="26547"/>
    <x v="1"/>
    <x v="0"/>
    <n v="30000"/>
    <x v="4"/>
    <x v="1"/>
    <s v="Clerical"/>
    <x v="1"/>
    <x v="2"/>
    <x v="2"/>
    <x v="1"/>
    <x v="2"/>
    <x v="1"/>
    <x v="1"/>
  </r>
  <r>
    <n v="22500"/>
    <x v="1"/>
    <x v="1"/>
    <n v="40000"/>
    <x v="3"/>
    <x v="0"/>
    <s v="Professional"/>
    <x v="1"/>
    <x v="0"/>
    <x v="0"/>
    <x v="0"/>
    <x v="8"/>
    <x v="0"/>
    <x v="1"/>
  </r>
  <r>
    <n v="23993"/>
    <x v="1"/>
    <x v="0"/>
    <n v="10000"/>
    <x v="3"/>
    <x v="1"/>
    <s v="Manual"/>
    <x v="1"/>
    <x v="1"/>
    <x v="0"/>
    <x v="1"/>
    <x v="22"/>
    <x v="2"/>
    <x v="1"/>
  </r>
  <r>
    <n v="14832"/>
    <x v="0"/>
    <x v="1"/>
    <n v="40000"/>
    <x v="0"/>
    <x v="0"/>
    <s v="Skilled Manual"/>
    <x v="0"/>
    <x v="0"/>
    <x v="0"/>
    <x v="0"/>
    <x v="0"/>
    <x v="0"/>
    <x v="1"/>
  </r>
  <r>
    <n v="16614"/>
    <x v="0"/>
    <x v="0"/>
    <n v="80000"/>
    <x v="3"/>
    <x v="0"/>
    <s v="Professional"/>
    <x v="0"/>
    <x v="4"/>
    <x v="4"/>
    <x v="1"/>
    <x v="21"/>
    <x v="0"/>
    <x v="0"/>
  </r>
  <r>
    <n v="20877"/>
    <x v="1"/>
    <x v="1"/>
    <n v="30000"/>
    <x v="0"/>
    <x v="0"/>
    <s v="Clerical"/>
    <x v="0"/>
    <x v="0"/>
    <x v="3"/>
    <x v="0"/>
    <x v="34"/>
    <x v="0"/>
    <x v="1"/>
  </r>
  <r>
    <n v="20729"/>
    <x v="0"/>
    <x v="0"/>
    <n v="40000"/>
    <x v="4"/>
    <x v="1"/>
    <s v="Clerical"/>
    <x v="1"/>
    <x v="1"/>
    <x v="0"/>
    <x v="0"/>
    <x v="17"/>
    <x v="0"/>
    <x v="0"/>
  </r>
  <r>
    <n v="22464"/>
    <x v="0"/>
    <x v="1"/>
    <n v="40000"/>
    <x v="3"/>
    <x v="4"/>
    <s v="Clerical"/>
    <x v="0"/>
    <x v="0"/>
    <x v="0"/>
    <x v="0"/>
    <x v="34"/>
    <x v="0"/>
    <x v="1"/>
  </r>
  <r>
    <n v="19475"/>
    <x v="0"/>
    <x v="0"/>
    <n v="40000"/>
    <x v="3"/>
    <x v="0"/>
    <s v="Professional"/>
    <x v="1"/>
    <x v="0"/>
    <x v="0"/>
    <x v="0"/>
    <x v="8"/>
    <x v="0"/>
    <x v="1"/>
  </r>
  <r>
    <n v="19675"/>
    <x v="0"/>
    <x v="1"/>
    <n v="20000"/>
    <x v="5"/>
    <x v="2"/>
    <s v="Skilled Manual"/>
    <x v="0"/>
    <x v="2"/>
    <x v="2"/>
    <x v="1"/>
    <x v="2"/>
    <x v="1"/>
    <x v="0"/>
  </r>
  <r>
    <n v="12728"/>
    <x v="1"/>
    <x v="1"/>
    <n v="30000"/>
    <x v="3"/>
    <x v="1"/>
    <s v="Clerical"/>
    <x v="1"/>
    <x v="1"/>
    <x v="3"/>
    <x v="0"/>
    <x v="40"/>
    <x v="2"/>
    <x v="0"/>
  </r>
  <r>
    <n v="26154"/>
    <x v="0"/>
    <x v="1"/>
    <n v="60000"/>
    <x v="0"/>
    <x v="1"/>
    <s v="Skilled Manual"/>
    <x v="0"/>
    <x v="1"/>
    <x v="2"/>
    <x v="1"/>
    <x v="1"/>
    <x v="0"/>
    <x v="1"/>
  </r>
  <r>
    <n v="29117"/>
    <x v="1"/>
    <x v="1"/>
    <n v="100000"/>
    <x v="0"/>
    <x v="0"/>
    <s v="Management"/>
    <x v="1"/>
    <x v="4"/>
    <x v="0"/>
    <x v="1"/>
    <x v="28"/>
    <x v="0"/>
    <x v="0"/>
  </r>
  <r>
    <n v="17845"/>
    <x v="1"/>
    <x v="0"/>
    <n v="20000"/>
    <x v="3"/>
    <x v="3"/>
    <s v="Manual"/>
    <x v="1"/>
    <x v="2"/>
    <x v="3"/>
    <x v="0"/>
    <x v="21"/>
    <x v="0"/>
    <x v="0"/>
  </r>
  <r>
    <n v="25058"/>
    <x v="0"/>
    <x v="1"/>
    <n v="100000"/>
    <x v="0"/>
    <x v="0"/>
    <s v="Management"/>
    <x v="0"/>
    <x v="4"/>
    <x v="1"/>
    <x v="1"/>
    <x v="15"/>
    <x v="0"/>
    <x v="0"/>
  </r>
  <r>
    <n v="23426"/>
    <x v="1"/>
    <x v="1"/>
    <n v="80000"/>
    <x v="2"/>
    <x v="4"/>
    <s v="Management"/>
    <x v="0"/>
    <x v="4"/>
    <x v="0"/>
    <x v="1"/>
    <x v="8"/>
    <x v="0"/>
    <x v="0"/>
  </r>
  <r>
    <n v="14798"/>
    <x v="1"/>
    <x v="0"/>
    <n v="10000"/>
    <x v="5"/>
    <x v="3"/>
    <s v="Manual"/>
    <x v="0"/>
    <x v="2"/>
    <x v="0"/>
    <x v="0"/>
    <x v="3"/>
    <x v="0"/>
    <x v="1"/>
  </r>
  <r>
    <n v="12664"/>
    <x v="0"/>
    <x v="0"/>
    <n v="130000"/>
    <x v="2"/>
    <x v="1"/>
    <s v="Professional"/>
    <x v="0"/>
    <x v="3"/>
    <x v="0"/>
    <x v="0"/>
    <x v="14"/>
    <x v="1"/>
    <x v="0"/>
  </r>
  <r>
    <n v="23979"/>
    <x v="1"/>
    <x v="1"/>
    <n v="10000"/>
    <x v="4"/>
    <x v="1"/>
    <s v="Manual"/>
    <x v="1"/>
    <x v="0"/>
    <x v="0"/>
    <x v="0"/>
    <x v="5"/>
    <x v="0"/>
    <x v="0"/>
  </r>
  <r>
    <n v="25605"/>
    <x v="1"/>
    <x v="0"/>
    <n v="20000"/>
    <x v="4"/>
    <x v="1"/>
    <s v="Manual"/>
    <x v="1"/>
    <x v="1"/>
    <x v="0"/>
    <x v="0"/>
    <x v="9"/>
    <x v="0"/>
    <x v="1"/>
  </r>
  <r>
    <n v="20797"/>
    <x v="0"/>
    <x v="0"/>
    <n v="10000"/>
    <x v="0"/>
    <x v="0"/>
    <s v="Manual"/>
    <x v="0"/>
    <x v="0"/>
    <x v="0"/>
    <x v="0"/>
    <x v="28"/>
    <x v="0"/>
    <x v="0"/>
  </r>
  <r>
    <n v="21980"/>
    <x v="1"/>
    <x v="0"/>
    <n v="60000"/>
    <x v="0"/>
    <x v="0"/>
    <s v="Professional"/>
    <x v="0"/>
    <x v="1"/>
    <x v="2"/>
    <x v="1"/>
    <x v="20"/>
    <x v="0"/>
    <x v="1"/>
  </r>
  <r>
    <n v="25460"/>
    <x v="0"/>
    <x v="0"/>
    <n v="20000"/>
    <x v="4"/>
    <x v="2"/>
    <s v="Manual"/>
    <x v="0"/>
    <x v="0"/>
    <x v="0"/>
    <x v="0"/>
    <x v="8"/>
    <x v="0"/>
    <x v="1"/>
  </r>
  <r>
    <n v="29181"/>
    <x v="1"/>
    <x v="0"/>
    <n v="60000"/>
    <x v="4"/>
    <x v="0"/>
    <s v="Professional"/>
    <x v="1"/>
    <x v="1"/>
    <x v="0"/>
    <x v="1"/>
    <x v="13"/>
    <x v="0"/>
    <x v="1"/>
  </r>
  <r>
    <n v="24279"/>
    <x v="1"/>
    <x v="1"/>
    <n v="40000"/>
    <x v="4"/>
    <x v="1"/>
    <s v="Skilled Manual"/>
    <x v="1"/>
    <x v="2"/>
    <x v="3"/>
    <x v="1"/>
    <x v="31"/>
    <x v="0"/>
    <x v="0"/>
  </r>
  <r>
    <n v="22402"/>
    <x v="0"/>
    <x v="1"/>
    <n v="10000"/>
    <x v="3"/>
    <x v="1"/>
    <s v="Manual"/>
    <x v="0"/>
    <x v="1"/>
    <x v="1"/>
    <x v="1"/>
    <x v="37"/>
    <x v="2"/>
    <x v="1"/>
  </r>
  <r>
    <n v="15465"/>
    <x v="0"/>
    <x v="0"/>
    <n v="10000"/>
    <x v="3"/>
    <x v="1"/>
    <s v="Manual"/>
    <x v="1"/>
    <x v="1"/>
    <x v="0"/>
    <x v="1"/>
    <x v="37"/>
    <x v="2"/>
    <x v="0"/>
  </r>
  <r>
    <n v="26757"/>
    <x v="1"/>
    <x v="1"/>
    <n v="90000"/>
    <x v="0"/>
    <x v="0"/>
    <s v="Professional"/>
    <x v="0"/>
    <x v="1"/>
    <x v="1"/>
    <x v="1"/>
    <x v="15"/>
    <x v="0"/>
    <x v="1"/>
  </r>
  <r>
    <n v="14233"/>
    <x v="1"/>
    <x v="1"/>
    <n v="100000"/>
    <x v="3"/>
    <x v="2"/>
    <s v="Management"/>
    <x v="0"/>
    <x v="4"/>
    <x v="4"/>
    <x v="1"/>
    <x v="11"/>
    <x v="0"/>
    <x v="0"/>
  </r>
  <r>
    <n v="14058"/>
    <x v="1"/>
    <x v="1"/>
    <n v="70000"/>
    <x v="3"/>
    <x v="0"/>
    <s v="Professional"/>
    <x v="1"/>
    <x v="1"/>
    <x v="2"/>
    <x v="1"/>
    <x v="3"/>
    <x v="0"/>
    <x v="1"/>
  </r>
  <r>
    <n v="12273"/>
    <x v="0"/>
    <x v="1"/>
    <n v="30000"/>
    <x v="0"/>
    <x v="0"/>
    <s v="Clerical"/>
    <x v="0"/>
    <x v="0"/>
    <x v="0"/>
    <x v="0"/>
    <x v="15"/>
    <x v="0"/>
    <x v="0"/>
  </r>
  <r>
    <n v="17203"/>
    <x v="0"/>
    <x v="0"/>
    <n v="130000"/>
    <x v="5"/>
    <x v="1"/>
    <s v="Professional"/>
    <x v="0"/>
    <x v="3"/>
    <x v="2"/>
    <x v="0"/>
    <x v="33"/>
    <x v="1"/>
    <x v="1"/>
  </r>
  <r>
    <n v="18144"/>
    <x v="0"/>
    <x v="0"/>
    <n v="80000"/>
    <x v="2"/>
    <x v="0"/>
    <s v="Management"/>
    <x v="0"/>
    <x v="2"/>
    <x v="1"/>
    <x v="0"/>
    <x v="33"/>
    <x v="1"/>
    <x v="0"/>
  </r>
  <r>
    <n v="23963"/>
    <x v="0"/>
    <x v="1"/>
    <n v="10000"/>
    <x v="3"/>
    <x v="3"/>
    <s v="Manual"/>
    <x v="1"/>
    <x v="2"/>
    <x v="0"/>
    <x v="0"/>
    <x v="6"/>
    <x v="0"/>
    <x v="0"/>
  </r>
  <r>
    <n v="17907"/>
    <x v="0"/>
    <x v="0"/>
    <n v="10000"/>
    <x v="3"/>
    <x v="1"/>
    <s v="Manual"/>
    <x v="0"/>
    <x v="1"/>
    <x v="1"/>
    <x v="1"/>
    <x v="40"/>
    <x v="2"/>
    <x v="0"/>
  </r>
  <r>
    <n v="19442"/>
    <x v="1"/>
    <x v="1"/>
    <n v="50000"/>
    <x v="3"/>
    <x v="4"/>
    <s v="Skilled Manual"/>
    <x v="0"/>
    <x v="0"/>
    <x v="0"/>
    <x v="0"/>
    <x v="34"/>
    <x v="0"/>
    <x v="1"/>
  </r>
  <r>
    <n v="17504"/>
    <x v="1"/>
    <x v="0"/>
    <n v="80000"/>
    <x v="4"/>
    <x v="1"/>
    <s v="Skilled Manual"/>
    <x v="0"/>
    <x v="2"/>
    <x v="2"/>
    <x v="1"/>
    <x v="31"/>
    <x v="0"/>
    <x v="1"/>
  </r>
  <r>
    <n v="12253"/>
    <x v="1"/>
    <x v="0"/>
    <n v="20000"/>
    <x v="3"/>
    <x v="1"/>
    <s v="Manual"/>
    <x v="0"/>
    <x v="0"/>
    <x v="0"/>
    <x v="1"/>
    <x v="19"/>
    <x v="2"/>
    <x v="1"/>
  </r>
  <r>
    <n v="27304"/>
    <x v="1"/>
    <x v="0"/>
    <n v="110000"/>
    <x v="4"/>
    <x v="1"/>
    <s v="Professional"/>
    <x v="1"/>
    <x v="4"/>
    <x v="2"/>
    <x v="0"/>
    <x v="28"/>
    <x v="0"/>
    <x v="0"/>
  </r>
  <r>
    <n v="14191"/>
    <x v="0"/>
    <x v="1"/>
    <n v="160000"/>
    <x v="5"/>
    <x v="1"/>
    <s v="Professional"/>
    <x v="1"/>
    <x v="2"/>
    <x v="4"/>
    <x v="0"/>
    <x v="10"/>
    <x v="1"/>
    <x v="1"/>
  </r>
  <r>
    <n v="12212"/>
    <x v="0"/>
    <x v="0"/>
    <n v="10000"/>
    <x v="3"/>
    <x v="4"/>
    <s v="Manual"/>
    <x v="0"/>
    <x v="0"/>
    <x v="0"/>
    <x v="0"/>
    <x v="34"/>
    <x v="0"/>
    <x v="1"/>
  </r>
  <r>
    <n v="25529"/>
    <x v="1"/>
    <x v="1"/>
    <n v="10000"/>
    <x v="0"/>
    <x v="4"/>
    <s v="Manual"/>
    <x v="0"/>
    <x v="0"/>
    <x v="0"/>
    <x v="0"/>
    <x v="20"/>
    <x v="0"/>
    <x v="0"/>
  </r>
  <r>
    <n v="22170"/>
    <x v="0"/>
    <x v="0"/>
    <n v="30000"/>
    <x v="1"/>
    <x v="1"/>
    <s v="Clerical"/>
    <x v="1"/>
    <x v="2"/>
    <x v="3"/>
    <x v="1"/>
    <x v="10"/>
    <x v="1"/>
    <x v="1"/>
  </r>
  <r>
    <n v="19445"/>
    <x v="0"/>
    <x v="0"/>
    <n v="10000"/>
    <x v="4"/>
    <x v="2"/>
    <s v="Manual"/>
    <x v="1"/>
    <x v="1"/>
    <x v="0"/>
    <x v="0"/>
    <x v="13"/>
    <x v="0"/>
    <x v="0"/>
  </r>
  <r>
    <n v="15265"/>
    <x v="1"/>
    <x v="1"/>
    <n v="40000"/>
    <x v="4"/>
    <x v="0"/>
    <s v="Management"/>
    <x v="0"/>
    <x v="2"/>
    <x v="2"/>
    <x v="1"/>
    <x v="29"/>
    <x v="1"/>
    <x v="1"/>
  </r>
  <r>
    <n v="28918"/>
    <x v="0"/>
    <x v="0"/>
    <n v="130000"/>
    <x v="5"/>
    <x v="2"/>
    <s v="Management"/>
    <x v="1"/>
    <x v="3"/>
    <x v="4"/>
    <x v="0"/>
    <x v="7"/>
    <x v="1"/>
    <x v="0"/>
  </r>
  <r>
    <n v="15799"/>
    <x v="0"/>
    <x v="0"/>
    <n v="90000"/>
    <x v="0"/>
    <x v="0"/>
    <s v="Professional"/>
    <x v="0"/>
    <x v="1"/>
    <x v="1"/>
    <x v="1"/>
    <x v="15"/>
    <x v="0"/>
    <x v="1"/>
  </r>
  <r>
    <n v="11047"/>
    <x v="0"/>
    <x v="0"/>
    <n v="30000"/>
    <x v="1"/>
    <x v="2"/>
    <s v="Skilled Manual"/>
    <x v="1"/>
    <x v="2"/>
    <x v="3"/>
    <x v="1"/>
    <x v="16"/>
    <x v="1"/>
    <x v="1"/>
  </r>
  <r>
    <n v="18151"/>
    <x v="1"/>
    <x v="1"/>
    <n v="80000"/>
    <x v="2"/>
    <x v="1"/>
    <s v="Professional"/>
    <x v="1"/>
    <x v="2"/>
    <x v="4"/>
    <x v="0"/>
    <x v="14"/>
    <x v="1"/>
    <x v="0"/>
  </r>
  <r>
    <n v="20606"/>
    <x v="0"/>
    <x v="0"/>
    <n v="70000"/>
    <x v="3"/>
    <x v="0"/>
    <s v="Professional"/>
    <x v="0"/>
    <x v="3"/>
    <x v="4"/>
    <x v="1"/>
    <x v="21"/>
    <x v="0"/>
    <x v="1"/>
  </r>
  <r>
    <n v="19482"/>
    <x v="0"/>
    <x v="1"/>
    <n v="30000"/>
    <x v="0"/>
    <x v="1"/>
    <s v="Clerical"/>
    <x v="0"/>
    <x v="1"/>
    <x v="0"/>
    <x v="0"/>
    <x v="20"/>
    <x v="0"/>
    <x v="1"/>
  </r>
  <r>
    <n v="16489"/>
    <x v="0"/>
    <x v="1"/>
    <n v="30000"/>
    <x v="1"/>
    <x v="2"/>
    <s v="Skilled Manual"/>
    <x v="0"/>
    <x v="2"/>
    <x v="2"/>
    <x v="1"/>
    <x v="10"/>
    <x v="1"/>
    <x v="0"/>
  </r>
  <r>
    <n v="26944"/>
    <x v="1"/>
    <x v="1"/>
    <n v="90000"/>
    <x v="4"/>
    <x v="2"/>
    <s v="Manual"/>
    <x v="0"/>
    <x v="0"/>
    <x v="0"/>
    <x v="0"/>
    <x v="4"/>
    <x v="0"/>
    <x v="1"/>
  </r>
  <r>
    <n v="15682"/>
    <x v="1"/>
    <x v="0"/>
    <n v="80000"/>
    <x v="2"/>
    <x v="0"/>
    <s v="Management"/>
    <x v="0"/>
    <x v="2"/>
    <x v="4"/>
    <x v="0"/>
    <x v="24"/>
    <x v="1"/>
    <x v="0"/>
  </r>
  <r>
    <n v="26032"/>
    <x v="0"/>
    <x v="0"/>
    <n v="70000"/>
    <x v="2"/>
    <x v="0"/>
    <s v="Professional"/>
    <x v="0"/>
    <x v="3"/>
    <x v="4"/>
    <x v="1"/>
    <x v="3"/>
    <x v="0"/>
    <x v="0"/>
  </r>
  <r>
    <n v="17843"/>
    <x v="1"/>
    <x v="0"/>
    <n v="10000"/>
    <x v="3"/>
    <x v="3"/>
    <s v="Manual"/>
    <x v="1"/>
    <x v="2"/>
    <x v="0"/>
    <x v="0"/>
    <x v="21"/>
    <x v="0"/>
    <x v="0"/>
  </r>
  <r>
    <n v="25559"/>
    <x v="1"/>
    <x v="1"/>
    <n v="20000"/>
    <x v="3"/>
    <x v="0"/>
    <s v="Clerical"/>
    <x v="0"/>
    <x v="0"/>
    <x v="0"/>
    <x v="1"/>
    <x v="37"/>
    <x v="2"/>
    <x v="1"/>
  </r>
  <r>
    <n v="16209"/>
    <x v="1"/>
    <x v="0"/>
    <n v="50000"/>
    <x v="3"/>
    <x v="4"/>
    <s v="Skilled Manual"/>
    <x v="0"/>
    <x v="0"/>
    <x v="3"/>
    <x v="0"/>
    <x v="4"/>
    <x v="0"/>
    <x v="0"/>
  </r>
  <r>
    <n v="11147"/>
    <x v="0"/>
    <x v="1"/>
    <n v="60000"/>
    <x v="4"/>
    <x v="4"/>
    <s v="Management"/>
    <x v="0"/>
    <x v="1"/>
    <x v="0"/>
    <x v="1"/>
    <x v="41"/>
    <x v="1"/>
    <x v="1"/>
  </r>
  <r>
    <n v="15214"/>
    <x v="1"/>
    <x v="0"/>
    <n v="100000"/>
    <x v="3"/>
    <x v="4"/>
    <s v="Management"/>
    <x v="1"/>
    <x v="1"/>
    <x v="3"/>
    <x v="1"/>
    <x v="32"/>
    <x v="0"/>
    <x v="1"/>
  </r>
  <r>
    <n v="11453"/>
    <x v="1"/>
    <x v="1"/>
    <n v="80000"/>
    <x v="3"/>
    <x v="0"/>
    <s v="Professional"/>
    <x v="1"/>
    <x v="4"/>
    <x v="4"/>
    <x v="1"/>
    <x v="6"/>
    <x v="0"/>
    <x v="1"/>
  </r>
  <r>
    <n v="24584"/>
    <x v="1"/>
    <x v="1"/>
    <n v="60000"/>
    <x v="3"/>
    <x v="0"/>
    <s v="Professional"/>
    <x v="1"/>
    <x v="4"/>
    <x v="1"/>
    <x v="1"/>
    <x v="23"/>
    <x v="0"/>
    <x v="0"/>
  </r>
  <r>
    <n v="12585"/>
    <x v="0"/>
    <x v="1"/>
    <n v="10000"/>
    <x v="0"/>
    <x v="2"/>
    <s v="Manual"/>
    <x v="0"/>
    <x v="0"/>
    <x v="1"/>
    <x v="1"/>
    <x v="40"/>
    <x v="2"/>
    <x v="1"/>
  </r>
  <r>
    <n v="18626"/>
    <x v="1"/>
    <x v="1"/>
    <n v="40000"/>
    <x v="4"/>
    <x v="1"/>
    <s v="Clerical"/>
    <x v="0"/>
    <x v="0"/>
    <x v="3"/>
    <x v="0"/>
    <x v="6"/>
    <x v="0"/>
    <x v="1"/>
  </r>
  <r>
    <n v="29298"/>
    <x v="1"/>
    <x v="0"/>
    <n v="60000"/>
    <x v="0"/>
    <x v="1"/>
    <s v="Skilled Manual"/>
    <x v="0"/>
    <x v="1"/>
    <x v="2"/>
    <x v="1"/>
    <x v="30"/>
    <x v="0"/>
    <x v="1"/>
  </r>
  <r>
    <n v="24842"/>
    <x v="1"/>
    <x v="0"/>
    <n v="90000"/>
    <x v="1"/>
    <x v="2"/>
    <s v="Professional"/>
    <x v="1"/>
    <x v="1"/>
    <x v="1"/>
    <x v="0"/>
    <x v="36"/>
    <x v="0"/>
    <x v="0"/>
  </r>
  <r>
    <n v="15657"/>
    <x v="0"/>
    <x v="1"/>
    <n v="30000"/>
    <x v="1"/>
    <x v="4"/>
    <s v="Clerical"/>
    <x v="0"/>
    <x v="0"/>
    <x v="0"/>
    <x v="0"/>
    <x v="30"/>
    <x v="0"/>
    <x v="1"/>
  </r>
  <r>
    <n v="11415"/>
    <x v="1"/>
    <x v="1"/>
    <n v="90000"/>
    <x v="2"/>
    <x v="1"/>
    <s v="Professional"/>
    <x v="1"/>
    <x v="2"/>
    <x v="4"/>
    <x v="0"/>
    <x v="24"/>
    <x v="1"/>
    <x v="0"/>
  </r>
  <r>
    <n v="28729"/>
    <x v="1"/>
    <x v="0"/>
    <n v="20000"/>
    <x v="3"/>
    <x v="3"/>
    <s v="Manual"/>
    <x v="0"/>
    <x v="2"/>
    <x v="3"/>
    <x v="0"/>
    <x v="22"/>
    <x v="2"/>
    <x v="1"/>
  </r>
  <r>
    <n v="22633"/>
    <x v="1"/>
    <x v="0"/>
    <n v="40000"/>
    <x v="3"/>
    <x v="4"/>
    <s v="Clerical"/>
    <x v="0"/>
    <x v="0"/>
    <x v="0"/>
    <x v="0"/>
    <x v="34"/>
    <x v="0"/>
    <x v="1"/>
  </r>
  <r>
    <n v="25649"/>
    <x v="1"/>
    <x v="0"/>
    <n v="30000"/>
    <x v="1"/>
    <x v="1"/>
    <s v="Clerical"/>
    <x v="0"/>
    <x v="0"/>
    <x v="0"/>
    <x v="0"/>
    <x v="0"/>
    <x v="0"/>
    <x v="1"/>
  </r>
  <r>
    <n v="14669"/>
    <x v="0"/>
    <x v="0"/>
    <n v="80000"/>
    <x v="5"/>
    <x v="4"/>
    <s v="Management"/>
    <x v="0"/>
    <x v="1"/>
    <x v="0"/>
    <x v="1"/>
    <x v="4"/>
    <x v="0"/>
    <x v="0"/>
  </r>
  <r>
    <n v="19299"/>
    <x v="0"/>
    <x v="0"/>
    <n v="50000"/>
    <x v="3"/>
    <x v="4"/>
    <s v="Skilled Manual"/>
    <x v="0"/>
    <x v="0"/>
    <x v="0"/>
    <x v="0"/>
    <x v="4"/>
    <x v="0"/>
    <x v="1"/>
  </r>
  <r>
    <n v="20946"/>
    <x v="1"/>
    <x v="0"/>
    <n v="30000"/>
    <x v="3"/>
    <x v="1"/>
    <s v="Clerical"/>
    <x v="1"/>
    <x v="1"/>
    <x v="1"/>
    <x v="0"/>
    <x v="25"/>
    <x v="2"/>
    <x v="0"/>
  </r>
  <r>
    <n v="11451"/>
    <x v="1"/>
    <x v="1"/>
    <n v="70000"/>
    <x v="3"/>
    <x v="0"/>
    <s v="Professional"/>
    <x v="1"/>
    <x v="3"/>
    <x v="4"/>
    <x v="1"/>
    <x v="23"/>
    <x v="0"/>
    <x v="1"/>
  </r>
  <r>
    <n v="25553"/>
    <x v="0"/>
    <x v="1"/>
    <n v="30000"/>
    <x v="0"/>
    <x v="0"/>
    <s v="Clerical"/>
    <x v="0"/>
    <x v="0"/>
    <x v="0"/>
    <x v="0"/>
    <x v="27"/>
    <x v="1"/>
    <x v="1"/>
  </r>
  <r>
    <n v="27951"/>
    <x v="1"/>
    <x v="1"/>
    <n v="80000"/>
    <x v="5"/>
    <x v="1"/>
    <s v="Professional"/>
    <x v="1"/>
    <x v="2"/>
    <x v="1"/>
    <x v="0"/>
    <x v="9"/>
    <x v="0"/>
    <x v="1"/>
  </r>
  <r>
    <n v="25026"/>
    <x v="0"/>
    <x v="1"/>
    <n v="20000"/>
    <x v="4"/>
    <x v="3"/>
    <s v="Clerical"/>
    <x v="0"/>
    <x v="4"/>
    <x v="2"/>
    <x v="1"/>
    <x v="9"/>
    <x v="0"/>
    <x v="0"/>
  </r>
  <r>
    <n v="13673"/>
    <x v="1"/>
    <x v="0"/>
    <n v="20000"/>
    <x v="3"/>
    <x v="3"/>
    <s v="Manual"/>
    <x v="1"/>
    <x v="2"/>
    <x v="0"/>
    <x v="0"/>
    <x v="37"/>
    <x v="2"/>
    <x v="0"/>
  </r>
  <r>
    <n v="16043"/>
    <x v="1"/>
    <x v="1"/>
    <n v="10000"/>
    <x v="0"/>
    <x v="0"/>
    <s v="Manual"/>
    <x v="0"/>
    <x v="0"/>
    <x v="0"/>
    <x v="0"/>
    <x v="28"/>
    <x v="0"/>
    <x v="0"/>
  </r>
  <r>
    <n v="22399"/>
    <x v="1"/>
    <x v="1"/>
    <n v="10000"/>
    <x v="3"/>
    <x v="1"/>
    <s v="Manual"/>
    <x v="0"/>
    <x v="1"/>
    <x v="3"/>
    <x v="1"/>
    <x v="22"/>
    <x v="2"/>
    <x v="1"/>
  </r>
  <r>
    <n v="27696"/>
    <x v="0"/>
    <x v="1"/>
    <n v="60000"/>
    <x v="0"/>
    <x v="0"/>
    <s v="Professional"/>
    <x v="0"/>
    <x v="1"/>
    <x v="2"/>
    <x v="1"/>
    <x v="1"/>
    <x v="0"/>
    <x v="1"/>
  </r>
  <r>
    <n v="25313"/>
    <x v="1"/>
    <x v="1"/>
    <n v="10000"/>
    <x v="3"/>
    <x v="3"/>
    <s v="Manual"/>
    <x v="1"/>
    <x v="2"/>
    <x v="3"/>
    <x v="0"/>
    <x v="11"/>
    <x v="0"/>
    <x v="0"/>
  </r>
  <r>
    <n v="13813"/>
    <x v="0"/>
    <x v="0"/>
    <n v="30000"/>
    <x v="1"/>
    <x v="1"/>
    <s v="Clerical"/>
    <x v="1"/>
    <x v="0"/>
    <x v="0"/>
    <x v="0"/>
    <x v="0"/>
    <x v="0"/>
    <x v="0"/>
  </r>
  <r>
    <n v="18711"/>
    <x v="1"/>
    <x v="0"/>
    <n v="70000"/>
    <x v="2"/>
    <x v="0"/>
    <s v="Professional"/>
    <x v="0"/>
    <x v="3"/>
    <x v="4"/>
    <x v="1"/>
    <x v="32"/>
    <x v="0"/>
    <x v="0"/>
  </r>
  <r>
    <n v="19650"/>
    <x v="0"/>
    <x v="0"/>
    <n v="30000"/>
    <x v="4"/>
    <x v="1"/>
    <s v="Clerical"/>
    <x v="1"/>
    <x v="2"/>
    <x v="0"/>
    <x v="1"/>
    <x v="41"/>
    <x v="1"/>
    <x v="0"/>
  </r>
  <r>
    <n v="14135"/>
    <x v="0"/>
    <x v="1"/>
    <n v="20000"/>
    <x v="0"/>
    <x v="1"/>
    <s v="Manual"/>
    <x v="0"/>
    <x v="0"/>
    <x v="3"/>
    <x v="0"/>
    <x v="11"/>
    <x v="0"/>
    <x v="0"/>
  </r>
  <r>
    <n v="12833"/>
    <x v="1"/>
    <x v="0"/>
    <n v="20000"/>
    <x v="1"/>
    <x v="2"/>
    <s v="Manual"/>
    <x v="0"/>
    <x v="1"/>
    <x v="0"/>
    <x v="0"/>
    <x v="0"/>
    <x v="0"/>
    <x v="1"/>
  </r>
  <r>
    <n v="26849"/>
    <x v="0"/>
    <x v="1"/>
    <n v="10000"/>
    <x v="1"/>
    <x v="3"/>
    <s v="Manual"/>
    <x v="0"/>
    <x v="2"/>
    <x v="0"/>
    <x v="0"/>
    <x v="1"/>
    <x v="0"/>
    <x v="0"/>
  </r>
  <r>
    <n v="20962"/>
    <x v="0"/>
    <x v="0"/>
    <n v="20000"/>
    <x v="0"/>
    <x v="4"/>
    <s v="Clerical"/>
    <x v="0"/>
    <x v="0"/>
    <x v="0"/>
    <x v="0"/>
    <x v="12"/>
    <x v="0"/>
    <x v="0"/>
  </r>
  <r>
    <n v="28915"/>
    <x v="1"/>
    <x v="1"/>
    <n v="80000"/>
    <x v="2"/>
    <x v="2"/>
    <s v="Management"/>
    <x v="0"/>
    <x v="4"/>
    <x v="4"/>
    <x v="0"/>
    <x v="42"/>
    <x v="1"/>
    <x v="0"/>
  </r>
  <r>
    <n v="22830"/>
    <x v="0"/>
    <x v="1"/>
    <n v="120000"/>
    <x v="5"/>
    <x v="1"/>
    <s v="Management"/>
    <x v="0"/>
    <x v="4"/>
    <x v="4"/>
    <x v="0"/>
    <x v="16"/>
    <x v="1"/>
    <x v="0"/>
  </r>
  <r>
    <n v="14777"/>
    <x v="0"/>
    <x v="0"/>
    <n v="40000"/>
    <x v="3"/>
    <x v="0"/>
    <s v="Clerical"/>
    <x v="0"/>
    <x v="0"/>
    <x v="0"/>
    <x v="0"/>
    <x v="13"/>
    <x v="0"/>
    <x v="1"/>
  </r>
  <r>
    <n v="12591"/>
    <x v="0"/>
    <x v="0"/>
    <n v="30000"/>
    <x v="5"/>
    <x v="4"/>
    <s v="Clerical"/>
    <x v="0"/>
    <x v="0"/>
    <x v="0"/>
    <x v="0"/>
    <x v="12"/>
    <x v="0"/>
    <x v="0"/>
  </r>
  <r>
    <n v="24174"/>
    <x v="0"/>
    <x v="1"/>
    <n v="20000"/>
    <x v="3"/>
    <x v="0"/>
    <s v="Clerical"/>
    <x v="0"/>
    <x v="0"/>
    <x v="0"/>
    <x v="1"/>
    <x v="40"/>
    <x v="2"/>
    <x v="1"/>
  </r>
  <r>
    <n v="24611"/>
    <x v="1"/>
    <x v="1"/>
    <n v="90000"/>
    <x v="3"/>
    <x v="0"/>
    <s v="Professional"/>
    <x v="1"/>
    <x v="3"/>
    <x v="4"/>
    <x v="1"/>
    <x v="11"/>
    <x v="0"/>
    <x v="1"/>
  </r>
  <r>
    <n v="11340"/>
    <x v="0"/>
    <x v="0"/>
    <n v="10000"/>
    <x v="0"/>
    <x v="4"/>
    <s v="Clerical"/>
    <x v="0"/>
    <x v="0"/>
    <x v="0"/>
    <x v="0"/>
    <x v="43"/>
    <x v="1"/>
    <x v="1"/>
  </r>
  <r>
    <n v="25693"/>
    <x v="1"/>
    <x v="0"/>
    <n v="30000"/>
    <x v="2"/>
    <x v="4"/>
    <s v="Clerical"/>
    <x v="0"/>
    <x v="0"/>
    <x v="0"/>
    <x v="0"/>
    <x v="20"/>
    <x v="0"/>
    <x v="1"/>
  </r>
  <r>
    <n v="25555"/>
    <x v="0"/>
    <x v="0"/>
    <n v="10000"/>
    <x v="3"/>
    <x v="1"/>
    <s v="Manual"/>
    <x v="1"/>
    <x v="1"/>
    <x v="0"/>
    <x v="1"/>
    <x v="22"/>
    <x v="2"/>
    <x v="1"/>
  </r>
  <r>
    <n v="22006"/>
    <x v="0"/>
    <x v="1"/>
    <n v="70000"/>
    <x v="2"/>
    <x v="1"/>
    <s v="Skilled Manual"/>
    <x v="0"/>
    <x v="4"/>
    <x v="2"/>
    <x v="1"/>
    <x v="30"/>
    <x v="0"/>
    <x v="0"/>
  </r>
  <r>
    <n v="20060"/>
    <x v="1"/>
    <x v="0"/>
    <n v="30000"/>
    <x v="3"/>
    <x v="2"/>
    <s v="Manual"/>
    <x v="1"/>
    <x v="1"/>
    <x v="1"/>
    <x v="0"/>
    <x v="17"/>
    <x v="0"/>
    <x v="1"/>
  </r>
  <r>
    <n v="17702"/>
    <x v="0"/>
    <x v="1"/>
    <n v="10000"/>
    <x v="0"/>
    <x v="4"/>
    <s v="Manual"/>
    <x v="0"/>
    <x v="0"/>
    <x v="0"/>
    <x v="0"/>
    <x v="34"/>
    <x v="0"/>
    <x v="0"/>
  </r>
  <r>
    <n v="12503"/>
    <x v="1"/>
    <x v="0"/>
    <n v="30000"/>
    <x v="1"/>
    <x v="1"/>
    <s v="Clerical"/>
    <x v="0"/>
    <x v="2"/>
    <x v="0"/>
    <x v="0"/>
    <x v="40"/>
    <x v="2"/>
    <x v="0"/>
  </r>
  <r>
    <n v="23908"/>
    <x v="1"/>
    <x v="1"/>
    <n v="30000"/>
    <x v="0"/>
    <x v="0"/>
    <s v="Clerical"/>
    <x v="1"/>
    <x v="1"/>
    <x v="0"/>
    <x v="0"/>
    <x v="32"/>
    <x v="0"/>
    <x v="1"/>
  </r>
  <r>
    <n v="22527"/>
    <x v="1"/>
    <x v="0"/>
    <n v="20000"/>
    <x v="3"/>
    <x v="2"/>
    <s v="Manual"/>
    <x v="1"/>
    <x v="1"/>
    <x v="1"/>
    <x v="0"/>
    <x v="19"/>
    <x v="2"/>
    <x v="0"/>
  </r>
  <r>
    <n v="19057"/>
    <x v="0"/>
    <x v="0"/>
    <n v="120000"/>
    <x v="1"/>
    <x v="0"/>
    <s v="Management"/>
    <x v="1"/>
    <x v="2"/>
    <x v="4"/>
    <x v="0"/>
    <x v="31"/>
    <x v="0"/>
    <x v="1"/>
  </r>
  <r>
    <n v="18494"/>
    <x v="0"/>
    <x v="1"/>
    <n v="110000"/>
    <x v="2"/>
    <x v="0"/>
    <s v="Management"/>
    <x v="0"/>
    <x v="3"/>
    <x v="1"/>
    <x v="1"/>
    <x v="28"/>
    <x v="0"/>
    <x v="1"/>
  </r>
  <r>
    <n v="11249"/>
    <x v="0"/>
    <x v="0"/>
    <n v="130000"/>
    <x v="1"/>
    <x v="1"/>
    <s v="Professional"/>
    <x v="0"/>
    <x v="4"/>
    <x v="0"/>
    <x v="0"/>
    <x v="36"/>
    <x v="0"/>
    <x v="1"/>
  </r>
  <r>
    <n v="21568"/>
    <x v="0"/>
    <x v="0"/>
    <n v="100000"/>
    <x v="3"/>
    <x v="2"/>
    <s v="Management"/>
    <x v="0"/>
    <x v="3"/>
    <x v="4"/>
    <x v="1"/>
    <x v="17"/>
    <x v="0"/>
    <x v="1"/>
  </r>
  <r>
    <n v="13981"/>
    <x v="0"/>
    <x v="0"/>
    <n v="10000"/>
    <x v="2"/>
    <x v="2"/>
    <s v="Skilled Manual"/>
    <x v="1"/>
    <x v="4"/>
    <x v="3"/>
    <x v="1"/>
    <x v="24"/>
    <x v="1"/>
    <x v="0"/>
  </r>
  <r>
    <n v="23432"/>
    <x v="1"/>
    <x v="1"/>
    <n v="70000"/>
    <x v="3"/>
    <x v="0"/>
    <s v="Professional"/>
    <x v="0"/>
    <x v="1"/>
    <x v="2"/>
    <x v="1"/>
    <x v="34"/>
    <x v="0"/>
    <x v="1"/>
  </r>
  <r>
    <n v="22931"/>
    <x v="0"/>
    <x v="1"/>
    <n v="100000"/>
    <x v="2"/>
    <x v="4"/>
    <s v="Management"/>
    <x v="1"/>
    <x v="1"/>
    <x v="3"/>
    <x v="1"/>
    <x v="44"/>
    <x v="1"/>
    <x v="1"/>
  </r>
  <r>
    <n v="18172"/>
    <x v="0"/>
    <x v="1"/>
    <n v="130000"/>
    <x v="5"/>
    <x v="2"/>
    <s v="Professional"/>
    <x v="0"/>
    <x v="4"/>
    <x v="0"/>
    <x v="0"/>
    <x v="10"/>
    <x v="1"/>
    <x v="0"/>
  </r>
  <r>
    <n v="12666"/>
    <x v="1"/>
    <x v="1"/>
    <n v="60000"/>
    <x v="3"/>
    <x v="0"/>
    <s v="Professional"/>
    <x v="1"/>
    <x v="3"/>
    <x v="1"/>
    <x v="1"/>
    <x v="23"/>
    <x v="0"/>
    <x v="0"/>
  </r>
  <r>
    <n v="20598"/>
    <x v="0"/>
    <x v="1"/>
    <n v="100000"/>
    <x v="1"/>
    <x v="3"/>
    <s v="Professional"/>
    <x v="0"/>
    <x v="0"/>
    <x v="4"/>
    <x v="0"/>
    <x v="14"/>
    <x v="1"/>
    <x v="1"/>
  </r>
  <r>
    <n v="21375"/>
    <x v="1"/>
    <x v="1"/>
    <n v="20000"/>
    <x v="4"/>
    <x v="3"/>
    <s v="Clerical"/>
    <x v="0"/>
    <x v="2"/>
    <x v="2"/>
    <x v="1"/>
    <x v="42"/>
    <x v="1"/>
    <x v="0"/>
  </r>
  <r>
    <n v="20839"/>
    <x v="1"/>
    <x v="0"/>
    <n v="30000"/>
    <x v="1"/>
    <x v="4"/>
    <s v="Clerical"/>
    <x v="0"/>
    <x v="0"/>
    <x v="0"/>
    <x v="0"/>
    <x v="15"/>
    <x v="0"/>
    <x v="1"/>
  </r>
  <r>
    <n v="21738"/>
    <x v="0"/>
    <x v="1"/>
    <n v="20000"/>
    <x v="0"/>
    <x v="4"/>
    <s v="Clerical"/>
    <x v="0"/>
    <x v="0"/>
    <x v="0"/>
    <x v="0"/>
    <x v="1"/>
    <x v="0"/>
    <x v="0"/>
  </r>
  <r>
    <n v="14164"/>
    <x v="1"/>
    <x v="0"/>
    <n v="50000"/>
    <x v="3"/>
    <x v="4"/>
    <s v="Skilled Manual"/>
    <x v="0"/>
    <x v="0"/>
    <x v="0"/>
    <x v="0"/>
    <x v="4"/>
    <x v="0"/>
    <x v="1"/>
  </r>
  <r>
    <n v="14193"/>
    <x v="1"/>
    <x v="0"/>
    <n v="100000"/>
    <x v="1"/>
    <x v="1"/>
    <s v="Management"/>
    <x v="0"/>
    <x v="3"/>
    <x v="4"/>
    <x v="0"/>
    <x v="16"/>
    <x v="1"/>
    <x v="0"/>
  </r>
  <r>
    <n v="12705"/>
    <x v="0"/>
    <x v="1"/>
    <n v="150000"/>
    <x v="3"/>
    <x v="0"/>
    <s v="Management"/>
    <x v="0"/>
    <x v="3"/>
    <x v="0"/>
    <x v="1"/>
    <x v="34"/>
    <x v="0"/>
    <x v="1"/>
  </r>
  <r>
    <n v="22672"/>
    <x v="1"/>
    <x v="0"/>
    <n v="30000"/>
    <x v="4"/>
    <x v="1"/>
    <s v="Clerical"/>
    <x v="0"/>
    <x v="0"/>
    <x v="0"/>
    <x v="0"/>
    <x v="1"/>
    <x v="0"/>
    <x v="0"/>
  </r>
  <r>
    <n v="26219"/>
    <x v="0"/>
    <x v="0"/>
    <n v="40000"/>
    <x v="0"/>
    <x v="0"/>
    <s v="Skilled Manual"/>
    <x v="0"/>
    <x v="1"/>
    <x v="3"/>
    <x v="0"/>
    <x v="6"/>
    <x v="0"/>
    <x v="1"/>
  </r>
  <r>
    <n v="28468"/>
    <x v="0"/>
    <x v="0"/>
    <n v="10000"/>
    <x v="4"/>
    <x v="1"/>
    <s v="Manual"/>
    <x v="0"/>
    <x v="0"/>
    <x v="3"/>
    <x v="0"/>
    <x v="36"/>
    <x v="0"/>
    <x v="0"/>
  </r>
  <r>
    <n v="23419"/>
    <x v="1"/>
    <x v="0"/>
    <n v="70000"/>
    <x v="2"/>
    <x v="0"/>
    <s v="Professional"/>
    <x v="0"/>
    <x v="4"/>
    <x v="4"/>
    <x v="1"/>
    <x v="32"/>
    <x v="0"/>
    <x v="0"/>
  </r>
  <r>
    <n v="17964"/>
    <x v="0"/>
    <x v="1"/>
    <n v="40000"/>
    <x v="3"/>
    <x v="4"/>
    <s v="Clerical"/>
    <x v="0"/>
    <x v="0"/>
    <x v="0"/>
    <x v="0"/>
    <x v="34"/>
    <x v="0"/>
    <x v="1"/>
  </r>
  <r>
    <n v="20919"/>
    <x v="1"/>
    <x v="0"/>
    <n v="30000"/>
    <x v="4"/>
    <x v="1"/>
    <s v="Clerical"/>
    <x v="0"/>
    <x v="2"/>
    <x v="0"/>
    <x v="0"/>
    <x v="0"/>
    <x v="0"/>
    <x v="0"/>
  </r>
  <r>
    <n v="20927"/>
    <x v="1"/>
    <x v="0"/>
    <n v="20000"/>
    <x v="2"/>
    <x v="2"/>
    <s v="Manual"/>
    <x v="0"/>
    <x v="2"/>
    <x v="0"/>
    <x v="0"/>
    <x v="40"/>
    <x v="2"/>
    <x v="0"/>
  </r>
  <r>
    <n v="13133"/>
    <x v="1"/>
    <x v="1"/>
    <n v="100000"/>
    <x v="2"/>
    <x v="0"/>
    <s v="Professional"/>
    <x v="0"/>
    <x v="1"/>
    <x v="2"/>
    <x v="1"/>
    <x v="15"/>
    <x v="0"/>
    <x v="1"/>
  </r>
  <r>
    <n v="19626"/>
    <x v="0"/>
    <x v="1"/>
    <n v="70000"/>
    <x v="2"/>
    <x v="1"/>
    <s v="Skilled Manual"/>
    <x v="0"/>
    <x v="4"/>
    <x v="2"/>
    <x v="1"/>
    <x v="12"/>
    <x v="0"/>
    <x v="0"/>
  </r>
  <r>
    <n v="21039"/>
    <x v="1"/>
    <x v="0"/>
    <n v="50000"/>
    <x v="3"/>
    <x v="4"/>
    <s v="Skilled Manual"/>
    <x v="1"/>
    <x v="0"/>
    <x v="0"/>
    <x v="0"/>
    <x v="34"/>
    <x v="0"/>
    <x v="1"/>
  </r>
  <r>
    <n v="12231"/>
    <x v="1"/>
    <x v="0"/>
    <n v="10000"/>
    <x v="4"/>
    <x v="1"/>
    <s v="Manual"/>
    <x v="0"/>
    <x v="0"/>
    <x v="0"/>
    <x v="0"/>
    <x v="36"/>
    <x v="0"/>
    <x v="1"/>
  </r>
  <r>
    <n v="25665"/>
    <x v="1"/>
    <x v="0"/>
    <n v="20000"/>
    <x v="3"/>
    <x v="2"/>
    <s v="Manual"/>
    <x v="1"/>
    <x v="1"/>
    <x v="3"/>
    <x v="0"/>
    <x v="26"/>
    <x v="2"/>
    <x v="0"/>
  </r>
  <r>
    <n v="24061"/>
    <x v="0"/>
    <x v="1"/>
    <n v="10000"/>
    <x v="5"/>
    <x v="3"/>
    <s v="Manual"/>
    <x v="0"/>
    <x v="1"/>
    <x v="0"/>
    <x v="0"/>
    <x v="8"/>
    <x v="0"/>
    <x v="1"/>
  </r>
  <r>
    <n v="26879"/>
    <x v="1"/>
    <x v="0"/>
    <n v="20000"/>
    <x v="3"/>
    <x v="2"/>
    <s v="Manual"/>
    <x v="1"/>
    <x v="1"/>
    <x v="1"/>
    <x v="0"/>
    <x v="25"/>
    <x v="2"/>
    <x v="0"/>
  </r>
  <r>
    <n v="12284"/>
    <x v="0"/>
    <x v="0"/>
    <n v="30000"/>
    <x v="3"/>
    <x v="0"/>
    <s v="Clerical"/>
    <x v="1"/>
    <x v="0"/>
    <x v="0"/>
    <x v="0"/>
    <x v="4"/>
    <x v="0"/>
    <x v="1"/>
  </r>
  <r>
    <n v="26654"/>
    <x v="0"/>
    <x v="0"/>
    <n v="90000"/>
    <x v="0"/>
    <x v="4"/>
    <s v="Management"/>
    <x v="0"/>
    <x v="0"/>
    <x v="0"/>
    <x v="1"/>
    <x v="34"/>
    <x v="0"/>
    <x v="1"/>
  </r>
  <r>
    <n v="14545"/>
    <x v="0"/>
    <x v="0"/>
    <n v="10000"/>
    <x v="4"/>
    <x v="1"/>
    <s v="Manual"/>
    <x v="0"/>
    <x v="0"/>
    <x v="3"/>
    <x v="0"/>
    <x v="38"/>
    <x v="0"/>
    <x v="0"/>
  </r>
  <r>
    <n v="24201"/>
    <x v="0"/>
    <x v="0"/>
    <n v="10000"/>
    <x v="4"/>
    <x v="2"/>
    <s v="Manual"/>
    <x v="0"/>
    <x v="0"/>
    <x v="0"/>
    <x v="0"/>
    <x v="34"/>
    <x v="0"/>
    <x v="1"/>
  </r>
  <r>
    <n v="20625"/>
    <x v="0"/>
    <x v="1"/>
    <n v="100000"/>
    <x v="3"/>
    <x v="2"/>
    <s v="Management"/>
    <x v="0"/>
    <x v="4"/>
    <x v="4"/>
    <x v="1"/>
    <x v="11"/>
    <x v="0"/>
    <x v="1"/>
  </r>
  <r>
    <n v="16390"/>
    <x v="1"/>
    <x v="1"/>
    <n v="30000"/>
    <x v="0"/>
    <x v="0"/>
    <s v="Clerical"/>
    <x v="1"/>
    <x v="0"/>
    <x v="0"/>
    <x v="0"/>
    <x v="13"/>
    <x v="0"/>
    <x v="1"/>
  </r>
  <r>
    <n v="14804"/>
    <x v="1"/>
    <x v="0"/>
    <n v="10000"/>
    <x v="1"/>
    <x v="3"/>
    <s v="Manual"/>
    <x v="0"/>
    <x v="2"/>
    <x v="0"/>
    <x v="0"/>
    <x v="1"/>
    <x v="0"/>
    <x v="0"/>
  </r>
  <r>
    <n v="12629"/>
    <x v="1"/>
    <x v="1"/>
    <n v="20000"/>
    <x v="0"/>
    <x v="1"/>
    <s v="Manual"/>
    <x v="1"/>
    <x v="0"/>
    <x v="0"/>
    <x v="0"/>
    <x v="34"/>
    <x v="0"/>
    <x v="0"/>
  </r>
  <r>
    <n v="14696"/>
    <x v="1"/>
    <x v="1"/>
    <n v="10000"/>
    <x v="3"/>
    <x v="3"/>
    <s v="Manual"/>
    <x v="1"/>
    <x v="2"/>
    <x v="0"/>
    <x v="0"/>
    <x v="17"/>
    <x v="0"/>
    <x v="0"/>
  </r>
  <r>
    <n v="22005"/>
    <x v="0"/>
    <x v="0"/>
    <n v="70000"/>
    <x v="2"/>
    <x v="1"/>
    <s v="Skilled Manual"/>
    <x v="1"/>
    <x v="4"/>
    <x v="2"/>
    <x v="1"/>
    <x v="30"/>
    <x v="0"/>
    <x v="0"/>
  </r>
  <r>
    <n v="14544"/>
    <x v="1"/>
    <x v="1"/>
    <n v="10000"/>
    <x v="0"/>
    <x v="1"/>
    <s v="Manual"/>
    <x v="0"/>
    <x v="0"/>
    <x v="0"/>
    <x v="0"/>
    <x v="38"/>
    <x v="0"/>
    <x v="0"/>
  </r>
  <r>
    <n v="14312"/>
    <x v="0"/>
    <x v="0"/>
    <n v="60000"/>
    <x v="0"/>
    <x v="1"/>
    <s v="Skilled Manual"/>
    <x v="0"/>
    <x v="1"/>
    <x v="2"/>
    <x v="1"/>
    <x v="12"/>
    <x v="0"/>
    <x v="0"/>
  </r>
  <r>
    <n v="29120"/>
    <x v="1"/>
    <x v="0"/>
    <n v="100000"/>
    <x v="0"/>
    <x v="0"/>
    <s v="Management"/>
    <x v="0"/>
    <x v="3"/>
    <x v="1"/>
    <x v="1"/>
    <x v="28"/>
    <x v="0"/>
    <x v="0"/>
  </r>
  <r>
    <n v="24187"/>
    <x v="1"/>
    <x v="0"/>
    <n v="30000"/>
    <x v="1"/>
    <x v="4"/>
    <s v="Clerical"/>
    <x v="1"/>
    <x v="0"/>
    <x v="0"/>
    <x v="0"/>
    <x v="30"/>
    <x v="0"/>
    <x v="1"/>
  </r>
  <r>
    <n v="15758"/>
    <x v="0"/>
    <x v="1"/>
    <n v="130000"/>
    <x v="3"/>
    <x v="4"/>
    <s v="Management"/>
    <x v="0"/>
    <x v="0"/>
    <x v="2"/>
    <x v="1"/>
    <x v="28"/>
    <x v="0"/>
    <x v="0"/>
  </r>
  <r>
    <n v="29094"/>
    <x v="0"/>
    <x v="1"/>
    <n v="30000"/>
    <x v="1"/>
    <x v="2"/>
    <s v="Skilled Manual"/>
    <x v="0"/>
    <x v="2"/>
    <x v="2"/>
    <x v="1"/>
    <x v="9"/>
    <x v="0"/>
    <x v="1"/>
  </r>
  <r>
    <n v="28319"/>
    <x v="1"/>
    <x v="0"/>
    <n v="60000"/>
    <x v="0"/>
    <x v="1"/>
    <s v="Skilled Manual"/>
    <x v="1"/>
    <x v="1"/>
    <x v="0"/>
    <x v="1"/>
    <x v="30"/>
    <x v="0"/>
    <x v="1"/>
  </r>
  <r>
    <n v="16406"/>
    <x v="0"/>
    <x v="1"/>
    <n v="40000"/>
    <x v="3"/>
    <x v="0"/>
    <s v="Clerical"/>
    <x v="1"/>
    <x v="0"/>
    <x v="0"/>
    <x v="0"/>
    <x v="13"/>
    <x v="0"/>
    <x v="1"/>
  </r>
  <r>
    <n v="20923"/>
    <x v="0"/>
    <x v="0"/>
    <n v="40000"/>
    <x v="0"/>
    <x v="0"/>
    <s v="Skilled Manual"/>
    <x v="0"/>
    <x v="0"/>
    <x v="0"/>
    <x v="0"/>
    <x v="0"/>
    <x v="0"/>
    <x v="1"/>
  </r>
  <r>
    <n v="11378"/>
    <x v="1"/>
    <x v="0"/>
    <n v="10000"/>
    <x v="0"/>
    <x v="2"/>
    <s v="Manual"/>
    <x v="1"/>
    <x v="1"/>
    <x v="1"/>
    <x v="0"/>
    <x v="30"/>
    <x v="0"/>
    <x v="1"/>
  </r>
  <r>
    <n v="20851"/>
    <x v="1"/>
    <x v="1"/>
    <n v="20000"/>
    <x v="3"/>
    <x v="1"/>
    <s v="Manual"/>
    <x v="1"/>
    <x v="1"/>
    <x v="1"/>
    <x v="0"/>
    <x v="4"/>
    <x v="0"/>
    <x v="1"/>
  </r>
  <r>
    <n v="21557"/>
    <x v="1"/>
    <x v="0"/>
    <n v="110000"/>
    <x v="3"/>
    <x v="1"/>
    <s v="Management"/>
    <x v="0"/>
    <x v="4"/>
    <x v="4"/>
    <x v="1"/>
    <x v="21"/>
    <x v="0"/>
    <x v="1"/>
  </r>
  <r>
    <n v="26663"/>
    <x v="1"/>
    <x v="0"/>
    <n v="60000"/>
    <x v="4"/>
    <x v="0"/>
    <s v="Professional"/>
    <x v="1"/>
    <x v="1"/>
    <x v="0"/>
    <x v="1"/>
    <x v="32"/>
    <x v="0"/>
    <x v="1"/>
  </r>
  <r>
    <n v="11896"/>
    <x v="0"/>
    <x v="1"/>
    <n v="100000"/>
    <x v="0"/>
    <x v="4"/>
    <s v="Management"/>
    <x v="0"/>
    <x v="0"/>
    <x v="1"/>
    <x v="1"/>
    <x v="4"/>
    <x v="0"/>
    <x v="1"/>
  </r>
  <r>
    <n v="14189"/>
    <x v="0"/>
    <x v="0"/>
    <n v="90000"/>
    <x v="5"/>
    <x v="2"/>
    <s v="Professional"/>
    <x v="1"/>
    <x v="2"/>
    <x v="1"/>
    <x v="0"/>
    <x v="9"/>
    <x v="0"/>
    <x v="1"/>
  </r>
  <r>
    <n v="13136"/>
    <x v="0"/>
    <x v="0"/>
    <n v="30000"/>
    <x v="4"/>
    <x v="1"/>
    <s v="Clerical"/>
    <x v="1"/>
    <x v="2"/>
    <x v="2"/>
    <x v="1"/>
    <x v="45"/>
    <x v="1"/>
    <x v="0"/>
  </r>
  <r>
    <n v="25906"/>
    <x v="1"/>
    <x v="0"/>
    <n v="10000"/>
    <x v="2"/>
    <x v="2"/>
    <s v="Skilled Manual"/>
    <x v="1"/>
    <x v="2"/>
    <x v="3"/>
    <x v="1"/>
    <x v="24"/>
    <x v="1"/>
    <x v="0"/>
  </r>
  <r>
    <n v="17926"/>
    <x v="1"/>
    <x v="0"/>
    <n v="40000"/>
    <x v="3"/>
    <x v="0"/>
    <s v="Clerical"/>
    <x v="1"/>
    <x v="0"/>
    <x v="0"/>
    <x v="1"/>
    <x v="26"/>
    <x v="2"/>
    <x v="1"/>
  </r>
  <r>
    <n v="26928"/>
    <x v="1"/>
    <x v="1"/>
    <n v="30000"/>
    <x v="0"/>
    <x v="0"/>
    <s v="Clerical"/>
    <x v="0"/>
    <x v="0"/>
    <x v="0"/>
    <x v="0"/>
    <x v="24"/>
    <x v="1"/>
    <x v="1"/>
  </r>
  <r>
    <n v="20897"/>
    <x v="0"/>
    <x v="0"/>
    <n v="30000"/>
    <x v="0"/>
    <x v="0"/>
    <s v="Skilled Manual"/>
    <x v="0"/>
    <x v="2"/>
    <x v="0"/>
    <x v="0"/>
    <x v="8"/>
    <x v="0"/>
    <x v="0"/>
  </r>
  <r>
    <n v="28207"/>
    <x v="0"/>
    <x v="1"/>
    <n v="80000"/>
    <x v="5"/>
    <x v="4"/>
    <s v="Management"/>
    <x v="0"/>
    <x v="1"/>
    <x v="0"/>
    <x v="1"/>
    <x v="4"/>
    <x v="0"/>
    <x v="1"/>
  </r>
  <r>
    <n v="25923"/>
    <x v="1"/>
    <x v="1"/>
    <n v="10000"/>
    <x v="4"/>
    <x v="3"/>
    <s v="Clerical"/>
    <x v="0"/>
    <x v="2"/>
    <x v="2"/>
    <x v="1"/>
    <x v="7"/>
    <x v="1"/>
    <x v="0"/>
  </r>
  <r>
    <n v="11000"/>
    <x v="0"/>
    <x v="1"/>
    <n v="90000"/>
    <x v="4"/>
    <x v="0"/>
    <s v="Professional"/>
    <x v="0"/>
    <x v="0"/>
    <x v="3"/>
    <x v="1"/>
    <x v="8"/>
    <x v="0"/>
    <x v="1"/>
  </r>
  <r>
    <n v="20974"/>
    <x v="0"/>
    <x v="1"/>
    <n v="10000"/>
    <x v="4"/>
    <x v="0"/>
    <s v="Clerical"/>
    <x v="0"/>
    <x v="1"/>
    <x v="0"/>
    <x v="0"/>
    <x v="29"/>
    <x v="1"/>
    <x v="0"/>
  </r>
  <r>
    <n v="28758"/>
    <x v="0"/>
    <x v="1"/>
    <n v="40000"/>
    <x v="4"/>
    <x v="1"/>
    <s v="Clerical"/>
    <x v="0"/>
    <x v="1"/>
    <x v="3"/>
    <x v="0"/>
    <x v="11"/>
    <x v="0"/>
    <x v="1"/>
  </r>
  <r>
    <n v="11381"/>
    <x v="0"/>
    <x v="0"/>
    <n v="20000"/>
    <x v="4"/>
    <x v="1"/>
    <s v="Manual"/>
    <x v="0"/>
    <x v="1"/>
    <x v="1"/>
    <x v="0"/>
    <x v="15"/>
    <x v="0"/>
    <x v="1"/>
  </r>
  <r>
    <n v="17522"/>
    <x v="0"/>
    <x v="1"/>
    <n v="120000"/>
    <x v="5"/>
    <x v="0"/>
    <s v="Management"/>
    <x v="0"/>
    <x v="1"/>
    <x v="1"/>
    <x v="1"/>
    <x v="15"/>
    <x v="0"/>
    <x v="0"/>
  </r>
  <r>
    <n v="21207"/>
    <x v="0"/>
    <x v="1"/>
    <n v="60000"/>
    <x v="0"/>
    <x v="1"/>
    <s v="Skilled Manual"/>
    <x v="0"/>
    <x v="1"/>
    <x v="2"/>
    <x v="1"/>
    <x v="30"/>
    <x v="0"/>
    <x v="0"/>
  </r>
  <r>
    <n v="28102"/>
    <x v="0"/>
    <x v="1"/>
    <n v="20000"/>
    <x v="5"/>
    <x v="2"/>
    <s v="Skilled Manual"/>
    <x v="0"/>
    <x v="2"/>
    <x v="2"/>
    <x v="1"/>
    <x v="7"/>
    <x v="1"/>
    <x v="1"/>
  </r>
  <r>
    <n v="23105"/>
    <x v="1"/>
    <x v="1"/>
    <n v="40000"/>
    <x v="1"/>
    <x v="3"/>
    <s v="Clerical"/>
    <x v="1"/>
    <x v="2"/>
    <x v="2"/>
    <x v="1"/>
    <x v="31"/>
    <x v="0"/>
    <x v="1"/>
  </r>
  <r>
    <n v="18740"/>
    <x v="0"/>
    <x v="1"/>
    <n v="80000"/>
    <x v="2"/>
    <x v="0"/>
    <s v="Professional"/>
    <x v="1"/>
    <x v="1"/>
    <x v="0"/>
    <x v="1"/>
    <x v="15"/>
    <x v="0"/>
    <x v="1"/>
  </r>
  <r>
    <n v="21213"/>
    <x v="1"/>
    <x v="1"/>
    <n v="70000"/>
    <x v="3"/>
    <x v="0"/>
    <s v="Professional"/>
    <x v="1"/>
    <x v="1"/>
    <x v="2"/>
    <x v="1"/>
    <x v="3"/>
    <x v="0"/>
    <x v="0"/>
  </r>
  <r>
    <n v="17352"/>
    <x v="0"/>
    <x v="1"/>
    <n v="50000"/>
    <x v="4"/>
    <x v="4"/>
    <s v="Management"/>
    <x v="0"/>
    <x v="1"/>
    <x v="2"/>
    <x v="1"/>
    <x v="46"/>
    <x v="1"/>
    <x v="1"/>
  </r>
  <r>
    <n v="14154"/>
    <x v="0"/>
    <x v="1"/>
    <n v="30000"/>
    <x v="3"/>
    <x v="0"/>
    <s v="Clerical"/>
    <x v="0"/>
    <x v="0"/>
    <x v="0"/>
    <x v="0"/>
    <x v="11"/>
    <x v="0"/>
    <x v="1"/>
  </r>
  <r>
    <n v="19066"/>
    <x v="0"/>
    <x v="1"/>
    <n v="130000"/>
    <x v="5"/>
    <x v="1"/>
    <s v="Professional"/>
    <x v="1"/>
    <x v="4"/>
    <x v="4"/>
    <x v="0"/>
    <x v="9"/>
    <x v="0"/>
    <x v="0"/>
  </r>
  <r>
    <n v="11386"/>
    <x v="0"/>
    <x v="0"/>
    <n v="30000"/>
    <x v="1"/>
    <x v="0"/>
    <s v="Clerical"/>
    <x v="0"/>
    <x v="0"/>
    <x v="0"/>
    <x v="0"/>
    <x v="12"/>
    <x v="0"/>
    <x v="0"/>
  </r>
  <r>
    <n v="20228"/>
    <x v="0"/>
    <x v="1"/>
    <n v="100000"/>
    <x v="3"/>
    <x v="4"/>
    <s v="Management"/>
    <x v="0"/>
    <x v="0"/>
    <x v="1"/>
    <x v="1"/>
    <x v="8"/>
    <x v="0"/>
    <x v="1"/>
  </r>
  <r>
    <n v="16675"/>
    <x v="1"/>
    <x v="0"/>
    <n v="160000"/>
    <x v="3"/>
    <x v="4"/>
    <s v="Management"/>
    <x v="1"/>
    <x v="4"/>
    <x v="0"/>
    <x v="1"/>
    <x v="15"/>
    <x v="0"/>
    <x v="1"/>
  </r>
  <r>
    <n v="16410"/>
    <x v="1"/>
    <x v="0"/>
    <n v="10000"/>
    <x v="5"/>
    <x v="3"/>
    <s v="Manual"/>
    <x v="0"/>
    <x v="2"/>
    <x v="0"/>
    <x v="0"/>
    <x v="3"/>
    <x v="0"/>
    <x v="1"/>
  </r>
  <r>
    <n v="27760"/>
    <x v="1"/>
    <x v="0"/>
    <n v="40000"/>
    <x v="3"/>
    <x v="4"/>
    <s v="Clerical"/>
    <x v="1"/>
    <x v="0"/>
    <x v="0"/>
    <x v="0"/>
    <x v="34"/>
    <x v="0"/>
    <x v="1"/>
  </r>
  <r>
    <n v="22930"/>
    <x v="0"/>
    <x v="1"/>
    <n v="90000"/>
    <x v="5"/>
    <x v="0"/>
    <s v="Professional"/>
    <x v="0"/>
    <x v="0"/>
    <x v="3"/>
    <x v="1"/>
    <x v="13"/>
    <x v="0"/>
    <x v="1"/>
  </r>
  <r>
    <n v="23780"/>
    <x v="1"/>
    <x v="1"/>
    <n v="40000"/>
    <x v="4"/>
    <x v="1"/>
    <s v="Clerical"/>
    <x v="1"/>
    <x v="2"/>
    <x v="0"/>
    <x v="0"/>
    <x v="4"/>
    <x v="0"/>
    <x v="1"/>
  </r>
  <r>
    <n v="20994"/>
    <x v="0"/>
    <x v="0"/>
    <n v="20000"/>
    <x v="3"/>
    <x v="0"/>
    <s v="Clerical"/>
    <x v="1"/>
    <x v="0"/>
    <x v="0"/>
    <x v="1"/>
    <x v="22"/>
    <x v="2"/>
    <x v="1"/>
  </r>
  <r>
    <n v="28379"/>
    <x v="0"/>
    <x v="1"/>
    <n v="30000"/>
    <x v="0"/>
    <x v="0"/>
    <s v="Skilled Manual"/>
    <x v="0"/>
    <x v="2"/>
    <x v="0"/>
    <x v="0"/>
    <x v="8"/>
    <x v="0"/>
    <x v="0"/>
  </r>
  <r>
    <n v="14865"/>
    <x v="1"/>
    <x v="1"/>
    <n v="40000"/>
    <x v="4"/>
    <x v="1"/>
    <s v="Clerical"/>
    <x v="0"/>
    <x v="2"/>
    <x v="3"/>
    <x v="0"/>
    <x v="4"/>
    <x v="0"/>
    <x v="0"/>
  </r>
  <r>
    <n v="12663"/>
    <x v="0"/>
    <x v="0"/>
    <n v="90000"/>
    <x v="2"/>
    <x v="3"/>
    <s v="Skilled Manual"/>
    <x v="0"/>
    <x v="2"/>
    <x v="4"/>
    <x v="0"/>
    <x v="14"/>
    <x v="1"/>
    <x v="0"/>
  </r>
  <r>
    <n v="24898"/>
    <x v="1"/>
    <x v="0"/>
    <n v="80000"/>
    <x v="3"/>
    <x v="0"/>
    <s v="Professional"/>
    <x v="0"/>
    <x v="4"/>
    <x v="4"/>
    <x v="1"/>
    <x v="21"/>
    <x v="0"/>
    <x v="0"/>
  </r>
  <r>
    <n v="19508"/>
    <x v="0"/>
    <x v="1"/>
    <n v="10000"/>
    <x v="3"/>
    <x v="3"/>
    <s v="Manual"/>
    <x v="1"/>
    <x v="2"/>
    <x v="0"/>
    <x v="0"/>
    <x v="25"/>
    <x v="2"/>
    <x v="0"/>
  </r>
  <r>
    <n v="11489"/>
    <x v="1"/>
    <x v="0"/>
    <n v="20000"/>
    <x v="3"/>
    <x v="3"/>
    <s v="Manual"/>
    <x v="1"/>
    <x v="2"/>
    <x v="3"/>
    <x v="0"/>
    <x v="11"/>
    <x v="0"/>
    <x v="1"/>
  </r>
  <r>
    <n v="18160"/>
    <x v="0"/>
    <x v="1"/>
    <n v="130000"/>
    <x v="1"/>
    <x v="2"/>
    <s v="Professional"/>
    <x v="0"/>
    <x v="3"/>
    <x v="2"/>
    <x v="0"/>
    <x v="36"/>
    <x v="0"/>
    <x v="1"/>
  </r>
  <r>
    <n v="25241"/>
    <x v="0"/>
    <x v="1"/>
    <n v="90000"/>
    <x v="4"/>
    <x v="0"/>
    <s v="Professional"/>
    <x v="0"/>
    <x v="1"/>
    <x v="2"/>
    <x v="1"/>
    <x v="15"/>
    <x v="0"/>
    <x v="0"/>
  </r>
  <r>
    <n v="24369"/>
    <x v="0"/>
    <x v="1"/>
    <n v="80000"/>
    <x v="2"/>
    <x v="4"/>
    <s v="Management"/>
    <x v="1"/>
    <x v="2"/>
    <x v="0"/>
    <x v="1"/>
    <x v="32"/>
    <x v="0"/>
    <x v="0"/>
  </r>
  <r>
    <n v="27165"/>
    <x v="1"/>
    <x v="1"/>
    <n v="20000"/>
    <x v="3"/>
    <x v="3"/>
    <s v="Manual"/>
    <x v="1"/>
    <x v="2"/>
    <x v="0"/>
    <x v="0"/>
    <x v="17"/>
    <x v="0"/>
    <x v="0"/>
  </r>
  <r>
    <n v="29424"/>
    <x v="0"/>
    <x v="1"/>
    <n v="10000"/>
    <x v="3"/>
    <x v="3"/>
    <s v="Manual"/>
    <x v="0"/>
    <x v="2"/>
    <x v="0"/>
    <x v="0"/>
    <x v="21"/>
    <x v="0"/>
    <x v="0"/>
  </r>
  <r>
    <n v="15926"/>
    <x v="1"/>
    <x v="0"/>
    <n v="120000"/>
    <x v="1"/>
    <x v="2"/>
    <s v="Professional"/>
    <x v="0"/>
    <x v="3"/>
    <x v="2"/>
    <x v="0"/>
    <x v="5"/>
    <x v="0"/>
    <x v="1"/>
  </r>
  <r>
    <n v="14554"/>
    <x v="0"/>
    <x v="1"/>
    <n v="20000"/>
    <x v="0"/>
    <x v="0"/>
    <s v="Clerical"/>
    <x v="0"/>
    <x v="0"/>
    <x v="0"/>
    <x v="0"/>
    <x v="29"/>
    <x v="1"/>
    <x v="0"/>
  </r>
  <r>
    <n v="16468"/>
    <x v="1"/>
    <x v="1"/>
    <n v="30000"/>
    <x v="3"/>
    <x v="1"/>
    <s v="Clerical"/>
    <x v="0"/>
    <x v="1"/>
    <x v="1"/>
    <x v="0"/>
    <x v="25"/>
    <x v="2"/>
    <x v="0"/>
  </r>
  <r>
    <n v="19174"/>
    <x v="1"/>
    <x v="0"/>
    <n v="30000"/>
    <x v="3"/>
    <x v="2"/>
    <s v="Manual"/>
    <x v="1"/>
    <x v="1"/>
    <x v="1"/>
    <x v="0"/>
    <x v="21"/>
    <x v="0"/>
    <x v="1"/>
  </r>
  <r>
    <n v="19183"/>
    <x v="1"/>
    <x v="1"/>
    <n v="10000"/>
    <x v="3"/>
    <x v="3"/>
    <s v="Manual"/>
    <x v="0"/>
    <x v="2"/>
    <x v="3"/>
    <x v="0"/>
    <x v="11"/>
    <x v="0"/>
    <x v="0"/>
  </r>
  <r>
    <n v="13683"/>
    <x v="1"/>
    <x v="0"/>
    <n v="30000"/>
    <x v="3"/>
    <x v="2"/>
    <s v="Manual"/>
    <x v="1"/>
    <x v="1"/>
    <x v="1"/>
    <x v="0"/>
    <x v="21"/>
    <x v="0"/>
    <x v="0"/>
  </r>
  <r>
    <n v="17848"/>
    <x v="1"/>
    <x v="1"/>
    <n v="30000"/>
    <x v="3"/>
    <x v="1"/>
    <s v="Clerical"/>
    <x v="1"/>
    <x v="1"/>
    <x v="1"/>
    <x v="0"/>
    <x v="23"/>
    <x v="0"/>
    <x v="1"/>
  </r>
  <r>
    <n v="17894"/>
    <x v="0"/>
    <x v="0"/>
    <n v="20000"/>
    <x v="0"/>
    <x v="0"/>
    <s v="Clerical"/>
    <x v="0"/>
    <x v="0"/>
    <x v="0"/>
    <x v="0"/>
    <x v="5"/>
    <x v="0"/>
    <x v="1"/>
  </r>
  <r>
    <n v="25651"/>
    <x v="0"/>
    <x v="1"/>
    <n v="40000"/>
    <x v="0"/>
    <x v="0"/>
    <s v="Skilled Manual"/>
    <x v="1"/>
    <x v="0"/>
    <x v="0"/>
    <x v="0"/>
    <x v="1"/>
    <x v="0"/>
    <x v="1"/>
  </r>
  <r>
    <n v="22936"/>
    <x v="1"/>
    <x v="0"/>
    <n v="60000"/>
    <x v="0"/>
    <x v="1"/>
    <s v="Skilled Manual"/>
    <x v="1"/>
    <x v="1"/>
    <x v="0"/>
    <x v="1"/>
    <x v="12"/>
    <x v="0"/>
    <x v="1"/>
  </r>
  <r>
    <n v="23915"/>
    <x v="0"/>
    <x v="1"/>
    <n v="20000"/>
    <x v="4"/>
    <x v="2"/>
    <s v="Manual"/>
    <x v="0"/>
    <x v="2"/>
    <x v="0"/>
    <x v="0"/>
    <x v="0"/>
    <x v="0"/>
    <x v="0"/>
  </r>
  <r>
    <n v="24121"/>
    <x v="1"/>
    <x v="0"/>
    <n v="30000"/>
    <x v="3"/>
    <x v="1"/>
    <s v="Clerical"/>
    <x v="1"/>
    <x v="1"/>
    <x v="0"/>
    <x v="0"/>
    <x v="19"/>
    <x v="2"/>
    <x v="1"/>
  </r>
  <r>
    <n v="27878"/>
    <x v="1"/>
    <x v="1"/>
    <n v="20000"/>
    <x v="3"/>
    <x v="1"/>
    <s v="Manual"/>
    <x v="1"/>
    <x v="0"/>
    <x v="0"/>
    <x v="1"/>
    <x v="26"/>
    <x v="2"/>
    <x v="1"/>
  </r>
  <r>
    <n v="13572"/>
    <x v="1"/>
    <x v="1"/>
    <n v="10000"/>
    <x v="1"/>
    <x v="2"/>
    <s v="Manual"/>
    <x v="0"/>
    <x v="0"/>
    <x v="0"/>
    <x v="0"/>
    <x v="34"/>
    <x v="0"/>
    <x v="1"/>
  </r>
  <r>
    <n v="27941"/>
    <x v="0"/>
    <x v="0"/>
    <n v="80000"/>
    <x v="5"/>
    <x v="1"/>
    <s v="Professional"/>
    <x v="0"/>
    <x v="2"/>
    <x v="1"/>
    <x v="0"/>
    <x v="39"/>
    <x v="0"/>
    <x v="0"/>
  </r>
  <r>
    <n v="26354"/>
    <x v="1"/>
    <x v="1"/>
    <n v="40000"/>
    <x v="3"/>
    <x v="4"/>
    <s v="Clerical"/>
    <x v="1"/>
    <x v="0"/>
    <x v="0"/>
    <x v="0"/>
    <x v="13"/>
    <x v="0"/>
    <x v="1"/>
  </r>
  <r>
    <n v="14785"/>
    <x v="1"/>
    <x v="1"/>
    <n v="30000"/>
    <x v="0"/>
    <x v="0"/>
    <s v="Clerical"/>
    <x v="1"/>
    <x v="1"/>
    <x v="3"/>
    <x v="0"/>
    <x v="32"/>
    <x v="0"/>
    <x v="0"/>
  </r>
  <r>
    <n v="17238"/>
    <x v="1"/>
    <x v="1"/>
    <n v="80000"/>
    <x v="3"/>
    <x v="0"/>
    <s v="Professional"/>
    <x v="0"/>
    <x v="4"/>
    <x v="4"/>
    <x v="1"/>
    <x v="21"/>
    <x v="0"/>
    <x v="0"/>
  </r>
  <r>
    <n v="23608"/>
    <x v="0"/>
    <x v="0"/>
    <n v="150000"/>
    <x v="1"/>
    <x v="2"/>
    <s v="Professional"/>
    <x v="0"/>
    <x v="4"/>
    <x v="0"/>
    <x v="0"/>
    <x v="36"/>
    <x v="0"/>
    <x v="1"/>
  </r>
  <r>
    <n v="22538"/>
    <x v="1"/>
    <x v="0"/>
    <n v="10000"/>
    <x v="3"/>
    <x v="3"/>
    <s v="Manual"/>
    <x v="0"/>
    <x v="2"/>
    <x v="3"/>
    <x v="0"/>
    <x v="6"/>
    <x v="0"/>
    <x v="0"/>
  </r>
  <r>
    <n v="12332"/>
    <x v="0"/>
    <x v="1"/>
    <n v="90000"/>
    <x v="5"/>
    <x v="2"/>
    <s v="Management"/>
    <x v="0"/>
    <x v="4"/>
    <x v="2"/>
    <x v="0"/>
    <x v="7"/>
    <x v="1"/>
    <x v="1"/>
  </r>
  <r>
    <n v="17230"/>
    <x v="0"/>
    <x v="1"/>
    <n v="80000"/>
    <x v="3"/>
    <x v="0"/>
    <s v="Professional"/>
    <x v="0"/>
    <x v="4"/>
    <x v="4"/>
    <x v="1"/>
    <x v="25"/>
    <x v="2"/>
    <x v="0"/>
  </r>
  <r>
    <n v="13082"/>
    <x v="1"/>
    <x v="1"/>
    <n v="130000"/>
    <x v="3"/>
    <x v="4"/>
    <s v="Management"/>
    <x v="0"/>
    <x v="0"/>
    <x v="1"/>
    <x v="1"/>
    <x v="28"/>
    <x v="0"/>
    <x v="1"/>
  </r>
  <r>
    <n v="22518"/>
    <x v="1"/>
    <x v="0"/>
    <n v="30000"/>
    <x v="1"/>
    <x v="1"/>
    <s v="Clerical"/>
    <x v="1"/>
    <x v="2"/>
    <x v="0"/>
    <x v="0"/>
    <x v="40"/>
    <x v="2"/>
    <x v="1"/>
  </r>
  <r>
    <n v="13687"/>
    <x v="0"/>
    <x v="1"/>
    <n v="40000"/>
    <x v="0"/>
    <x v="0"/>
    <s v="Skilled Manual"/>
    <x v="0"/>
    <x v="1"/>
    <x v="0"/>
    <x v="0"/>
    <x v="6"/>
    <x v="0"/>
    <x v="1"/>
  </r>
  <r>
    <n v="23571"/>
    <x v="0"/>
    <x v="0"/>
    <n v="40000"/>
    <x v="4"/>
    <x v="0"/>
    <s v="Management"/>
    <x v="0"/>
    <x v="2"/>
    <x v="0"/>
    <x v="1"/>
    <x v="29"/>
    <x v="1"/>
    <x v="1"/>
  </r>
  <r>
    <n v="19305"/>
    <x v="1"/>
    <x v="0"/>
    <n v="10000"/>
    <x v="4"/>
    <x v="2"/>
    <s v="Manual"/>
    <x v="0"/>
    <x v="1"/>
    <x v="0"/>
    <x v="0"/>
    <x v="13"/>
    <x v="0"/>
    <x v="1"/>
  </r>
  <r>
    <n v="22636"/>
    <x v="1"/>
    <x v="0"/>
    <n v="40000"/>
    <x v="3"/>
    <x v="0"/>
    <s v="Clerical"/>
    <x v="1"/>
    <x v="0"/>
    <x v="0"/>
    <x v="0"/>
    <x v="13"/>
    <x v="0"/>
    <x v="1"/>
  </r>
  <r>
    <n v="17310"/>
    <x v="0"/>
    <x v="1"/>
    <n v="60000"/>
    <x v="0"/>
    <x v="1"/>
    <s v="Skilled Manual"/>
    <x v="0"/>
    <x v="1"/>
    <x v="0"/>
    <x v="1"/>
    <x v="12"/>
    <x v="0"/>
    <x v="1"/>
  </r>
  <r>
    <n v="12133"/>
    <x v="0"/>
    <x v="0"/>
    <n v="130000"/>
    <x v="1"/>
    <x v="1"/>
    <s v="Professional"/>
    <x v="0"/>
    <x v="4"/>
    <x v="2"/>
    <x v="0"/>
    <x v="5"/>
    <x v="0"/>
    <x v="1"/>
  </r>
  <r>
    <n v="25918"/>
    <x v="1"/>
    <x v="0"/>
    <n v="30000"/>
    <x v="4"/>
    <x v="1"/>
    <s v="Clerical"/>
    <x v="1"/>
    <x v="2"/>
    <x v="2"/>
    <x v="1"/>
    <x v="2"/>
    <x v="1"/>
    <x v="1"/>
  </r>
  <r>
    <n v="25752"/>
    <x v="1"/>
    <x v="0"/>
    <n v="20000"/>
    <x v="4"/>
    <x v="1"/>
    <s v="Manual"/>
    <x v="1"/>
    <x v="1"/>
    <x v="0"/>
    <x v="0"/>
    <x v="39"/>
    <x v="0"/>
    <x v="1"/>
  </r>
  <r>
    <n v="17324"/>
    <x v="0"/>
    <x v="0"/>
    <n v="100000"/>
    <x v="5"/>
    <x v="0"/>
    <s v="Professional"/>
    <x v="0"/>
    <x v="1"/>
    <x v="4"/>
    <x v="1"/>
    <x v="30"/>
    <x v="0"/>
    <x v="0"/>
  </r>
  <r>
    <n v="22918"/>
    <x v="1"/>
    <x v="1"/>
    <n v="80000"/>
    <x v="2"/>
    <x v="4"/>
    <s v="Management"/>
    <x v="0"/>
    <x v="4"/>
    <x v="0"/>
    <x v="1"/>
    <x v="5"/>
    <x v="0"/>
    <x v="0"/>
  </r>
  <r>
    <n v="12510"/>
    <x v="0"/>
    <x v="1"/>
    <n v="40000"/>
    <x v="0"/>
    <x v="0"/>
    <s v="Skilled Manual"/>
    <x v="0"/>
    <x v="1"/>
    <x v="0"/>
    <x v="0"/>
    <x v="1"/>
    <x v="0"/>
    <x v="1"/>
  </r>
  <r>
    <n v="25512"/>
    <x v="1"/>
    <x v="1"/>
    <n v="20000"/>
    <x v="3"/>
    <x v="2"/>
    <s v="Manual"/>
    <x v="1"/>
    <x v="1"/>
    <x v="1"/>
    <x v="0"/>
    <x v="25"/>
    <x v="2"/>
    <x v="0"/>
  </r>
  <r>
    <n v="16179"/>
    <x v="1"/>
    <x v="0"/>
    <n v="80000"/>
    <x v="2"/>
    <x v="0"/>
    <s v="Professional"/>
    <x v="0"/>
    <x v="3"/>
    <x v="3"/>
    <x v="1"/>
    <x v="13"/>
    <x v="0"/>
    <x v="0"/>
  </r>
  <r>
    <n v="15628"/>
    <x v="0"/>
    <x v="0"/>
    <n v="40000"/>
    <x v="0"/>
    <x v="0"/>
    <s v="Skilled Manual"/>
    <x v="0"/>
    <x v="1"/>
    <x v="0"/>
    <x v="0"/>
    <x v="47"/>
    <x v="1"/>
    <x v="0"/>
  </r>
  <r>
    <n v="20977"/>
    <x v="0"/>
    <x v="1"/>
    <n v="20000"/>
    <x v="0"/>
    <x v="0"/>
    <s v="Clerical"/>
    <x v="0"/>
    <x v="0"/>
    <x v="0"/>
    <x v="0"/>
    <x v="46"/>
    <x v="1"/>
    <x v="1"/>
  </r>
  <r>
    <n v="18140"/>
    <x v="0"/>
    <x v="1"/>
    <n v="130000"/>
    <x v="1"/>
    <x v="1"/>
    <s v="Professional"/>
    <x v="1"/>
    <x v="4"/>
    <x v="2"/>
    <x v="0"/>
    <x v="36"/>
    <x v="0"/>
    <x v="1"/>
  </r>
  <r>
    <n v="20417"/>
    <x v="0"/>
    <x v="1"/>
    <n v="30000"/>
    <x v="1"/>
    <x v="1"/>
    <s v="Clerical"/>
    <x v="1"/>
    <x v="2"/>
    <x v="2"/>
    <x v="1"/>
    <x v="16"/>
    <x v="1"/>
    <x v="0"/>
  </r>
  <r>
    <n v="18267"/>
    <x v="0"/>
    <x v="1"/>
    <n v="60000"/>
    <x v="1"/>
    <x v="0"/>
    <s v="Professional"/>
    <x v="0"/>
    <x v="2"/>
    <x v="2"/>
    <x v="1"/>
    <x v="1"/>
    <x v="0"/>
    <x v="0"/>
  </r>
  <r>
    <n v="13620"/>
    <x v="1"/>
    <x v="1"/>
    <n v="70000"/>
    <x v="3"/>
    <x v="0"/>
    <s v="Professional"/>
    <x v="1"/>
    <x v="4"/>
    <x v="4"/>
    <x v="1"/>
    <x v="25"/>
    <x v="2"/>
    <x v="1"/>
  </r>
  <r>
    <n v="22974"/>
    <x v="0"/>
    <x v="0"/>
    <n v="30000"/>
    <x v="4"/>
    <x v="1"/>
    <s v="Clerical"/>
    <x v="0"/>
    <x v="2"/>
    <x v="2"/>
    <x v="1"/>
    <x v="45"/>
    <x v="1"/>
    <x v="0"/>
  </r>
  <r>
    <n v="13586"/>
    <x v="0"/>
    <x v="1"/>
    <n v="80000"/>
    <x v="5"/>
    <x v="1"/>
    <s v="Professional"/>
    <x v="0"/>
    <x v="2"/>
    <x v="4"/>
    <x v="0"/>
    <x v="39"/>
    <x v="0"/>
    <x v="0"/>
  </r>
  <r>
    <n v="17978"/>
    <x v="0"/>
    <x v="1"/>
    <n v="40000"/>
    <x v="3"/>
    <x v="4"/>
    <s v="Clerical"/>
    <x v="0"/>
    <x v="0"/>
    <x v="0"/>
    <x v="0"/>
    <x v="34"/>
    <x v="0"/>
    <x v="1"/>
  </r>
  <r>
    <n v="12581"/>
    <x v="1"/>
    <x v="0"/>
    <n v="10000"/>
    <x v="3"/>
    <x v="1"/>
    <s v="Manual"/>
    <x v="1"/>
    <x v="1"/>
    <x v="0"/>
    <x v="1"/>
    <x v="26"/>
    <x v="2"/>
    <x v="1"/>
  </r>
  <r>
    <n v="18018"/>
    <x v="1"/>
    <x v="1"/>
    <n v="30000"/>
    <x v="1"/>
    <x v="1"/>
    <s v="Clerical"/>
    <x v="0"/>
    <x v="0"/>
    <x v="0"/>
    <x v="0"/>
    <x v="1"/>
    <x v="0"/>
    <x v="0"/>
  </r>
  <r>
    <n v="28957"/>
    <x v="1"/>
    <x v="0"/>
    <n v="120000"/>
    <x v="3"/>
    <x v="3"/>
    <s v="Professional"/>
    <x v="0"/>
    <x v="3"/>
    <x v="4"/>
    <x v="1"/>
    <x v="17"/>
    <x v="0"/>
    <x v="1"/>
  </r>
  <r>
    <n v="13690"/>
    <x v="1"/>
    <x v="0"/>
    <n v="20000"/>
    <x v="3"/>
    <x v="3"/>
    <s v="Manual"/>
    <x v="1"/>
    <x v="2"/>
    <x v="3"/>
    <x v="0"/>
    <x v="17"/>
    <x v="0"/>
    <x v="1"/>
  </r>
  <r>
    <n v="12568"/>
    <x v="0"/>
    <x v="0"/>
    <n v="30000"/>
    <x v="0"/>
    <x v="0"/>
    <s v="Clerical"/>
    <x v="0"/>
    <x v="0"/>
    <x v="0"/>
    <x v="0"/>
    <x v="46"/>
    <x v="1"/>
    <x v="0"/>
  </r>
  <r>
    <n v="13122"/>
    <x v="0"/>
    <x v="0"/>
    <n v="80000"/>
    <x v="3"/>
    <x v="0"/>
    <s v="Professional"/>
    <x v="0"/>
    <x v="1"/>
    <x v="3"/>
    <x v="1"/>
    <x v="3"/>
    <x v="0"/>
    <x v="1"/>
  </r>
  <r>
    <n v="21184"/>
    <x v="1"/>
    <x v="1"/>
    <n v="70000"/>
    <x v="3"/>
    <x v="0"/>
    <s v="Professional"/>
    <x v="1"/>
    <x v="1"/>
    <x v="2"/>
    <x v="1"/>
    <x v="13"/>
    <x v="0"/>
    <x v="0"/>
  </r>
  <r>
    <n v="26150"/>
    <x v="1"/>
    <x v="0"/>
    <n v="70000"/>
    <x v="3"/>
    <x v="0"/>
    <s v="Professional"/>
    <x v="1"/>
    <x v="1"/>
    <x v="0"/>
    <x v="1"/>
    <x v="3"/>
    <x v="0"/>
    <x v="1"/>
  </r>
  <r>
    <n v="24151"/>
    <x v="1"/>
    <x v="1"/>
    <n v="20000"/>
    <x v="0"/>
    <x v="0"/>
    <s v="Clerical"/>
    <x v="1"/>
    <x v="0"/>
    <x v="0"/>
    <x v="0"/>
    <x v="36"/>
    <x v="0"/>
    <x v="0"/>
  </r>
  <r>
    <n v="23962"/>
    <x v="0"/>
    <x v="0"/>
    <n v="10000"/>
    <x v="3"/>
    <x v="3"/>
    <s v="Manual"/>
    <x v="0"/>
    <x v="2"/>
    <x v="3"/>
    <x v="0"/>
    <x v="21"/>
    <x v="0"/>
    <x v="0"/>
  </r>
  <r>
    <n v="17793"/>
    <x v="0"/>
    <x v="0"/>
    <n v="40000"/>
    <x v="3"/>
    <x v="0"/>
    <s v="Clerical"/>
    <x v="0"/>
    <x v="0"/>
    <x v="0"/>
    <x v="0"/>
    <x v="13"/>
    <x v="0"/>
    <x v="1"/>
  </r>
  <r>
    <n v="14926"/>
    <x v="0"/>
    <x v="1"/>
    <n v="30000"/>
    <x v="0"/>
    <x v="0"/>
    <s v="Clerical"/>
    <x v="0"/>
    <x v="0"/>
    <x v="0"/>
    <x v="0"/>
    <x v="13"/>
    <x v="0"/>
    <x v="1"/>
  </r>
  <r>
    <n v="16163"/>
    <x v="1"/>
    <x v="1"/>
    <n v="60000"/>
    <x v="4"/>
    <x v="0"/>
    <s v="Professional"/>
    <x v="0"/>
    <x v="1"/>
    <x v="1"/>
    <x v="1"/>
    <x v="13"/>
    <x v="0"/>
    <x v="1"/>
  </r>
  <r>
    <n v="21365"/>
    <x v="0"/>
    <x v="0"/>
    <n v="10000"/>
    <x v="4"/>
    <x v="3"/>
    <s v="Clerical"/>
    <x v="0"/>
    <x v="2"/>
    <x v="2"/>
    <x v="1"/>
    <x v="7"/>
    <x v="1"/>
    <x v="0"/>
  </r>
  <r>
    <n v="27771"/>
    <x v="1"/>
    <x v="1"/>
    <n v="30000"/>
    <x v="0"/>
    <x v="0"/>
    <s v="Clerical"/>
    <x v="0"/>
    <x v="1"/>
    <x v="3"/>
    <x v="0"/>
    <x v="32"/>
    <x v="0"/>
    <x v="1"/>
  </r>
  <r>
    <n v="26167"/>
    <x v="1"/>
    <x v="0"/>
    <n v="40000"/>
    <x v="4"/>
    <x v="0"/>
    <s v="Management"/>
    <x v="1"/>
    <x v="1"/>
    <x v="2"/>
    <x v="1"/>
    <x v="39"/>
    <x v="0"/>
    <x v="1"/>
  </r>
  <r>
    <n v="25792"/>
    <x v="1"/>
    <x v="0"/>
    <n v="110000"/>
    <x v="1"/>
    <x v="0"/>
    <s v="Management"/>
    <x v="0"/>
    <x v="3"/>
    <x v="4"/>
    <x v="0"/>
    <x v="39"/>
    <x v="0"/>
    <x v="0"/>
  </r>
  <r>
    <n v="11555"/>
    <x v="0"/>
    <x v="0"/>
    <n v="40000"/>
    <x v="0"/>
    <x v="0"/>
    <s v="Clerical"/>
    <x v="0"/>
    <x v="0"/>
    <x v="0"/>
    <x v="0"/>
    <x v="48"/>
    <x v="1"/>
    <x v="0"/>
  </r>
  <r>
    <n v="22381"/>
    <x v="0"/>
    <x v="1"/>
    <n v="10000"/>
    <x v="0"/>
    <x v="4"/>
    <s v="Manual"/>
    <x v="0"/>
    <x v="0"/>
    <x v="0"/>
    <x v="0"/>
    <x v="20"/>
    <x v="0"/>
    <x v="0"/>
  </r>
  <r>
    <n v="17882"/>
    <x v="0"/>
    <x v="1"/>
    <n v="20000"/>
    <x v="0"/>
    <x v="4"/>
    <s v="Clerical"/>
    <x v="0"/>
    <x v="0"/>
    <x v="0"/>
    <x v="0"/>
    <x v="20"/>
    <x v="0"/>
    <x v="0"/>
  </r>
  <r>
    <n v="22174"/>
    <x v="0"/>
    <x v="1"/>
    <n v="30000"/>
    <x v="1"/>
    <x v="2"/>
    <s v="Skilled Manual"/>
    <x v="0"/>
    <x v="2"/>
    <x v="2"/>
    <x v="1"/>
    <x v="9"/>
    <x v="0"/>
    <x v="1"/>
  </r>
  <r>
    <n v="22439"/>
    <x v="0"/>
    <x v="0"/>
    <n v="30000"/>
    <x v="3"/>
    <x v="0"/>
    <s v="Clerical"/>
    <x v="0"/>
    <x v="0"/>
    <x v="0"/>
    <x v="0"/>
    <x v="34"/>
    <x v="0"/>
    <x v="1"/>
  </r>
  <r>
    <n v="18012"/>
    <x v="0"/>
    <x v="0"/>
    <n v="40000"/>
    <x v="0"/>
    <x v="0"/>
    <s v="Skilled Manual"/>
    <x v="0"/>
    <x v="0"/>
    <x v="0"/>
    <x v="0"/>
    <x v="3"/>
    <x v="0"/>
    <x v="0"/>
  </r>
  <r>
    <n v="27582"/>
    <x v="1"/>
    <x v="0"/>
    <n v="90000"/>
    <x v="4"/>
    <x v="0"/>
    <s v="Professional"/>
    <x v="1"/>
    <x v="0"/>
    <x v="0"/>
    <x v="1"/>
    <x v="4"/>
    <x v="0"/>
    <x v="1"/>
  </r>
  <r>
    <n v="12744"/>
    <x v="1"/>
    <x v="0"/>
    <n v="40000"/>
    <x v="4"/>
    <x v="1"/>
    <s v="Clerical"/>
    <x v="0"/>
    <x v="0"/>
    <x v="0"/>
    <x v="0"/>
    <x v="6"/>
    <x v="0"/>
    <x v="0"/>
  </r>
  <r>
    <n v="22821"/>
    <x v="0"/>
    <x v="0"/>
    <n v="130000"/>
    <x v="1"/>
    <x v="1"/>
    <s v="Professional"/>
    <x v="0"/>
    <x v="3"/>
    <x v="0"/>
    <x v="0"/>
    <x v="31"/>
    <x v="0"/>
    <x v="0"/>
  </r>
  <r>
    <n v="20171"/>
    <x v="0"/>
    <x v="0"/>
    <n v="20000"/>
    <x v="4"/>
    <x v="1"/>
    <s v="Manual"/>
    <x v="0"/>
    <x v="1"/>
    <x v="0"/>
    <x v="0"/>
    <x v="30"/>
    <x v="0"/>
    <x v="1"/>
  </r>
  <r>
    <n v="11116"/>
    <x v="0"/>
    <x v="1"/>
    <n v="70000"/>
    <x v="2"/>
    <x v="1"/>
    <s v="Skilled Manual"/>
    <x v="0"/>
    <x v="2"/>
    <x v="2"/>
    <x v="1"/>
    <x v="1"/>
    <x v="0"/>
    <x v="0"/>
  </r>
  <r>
    <n v="20053"/>
    <x v="1"/>
    <x v="1"/>
    <n v="40000"/>
    <x v="4"/>
    <x v="1"/>
    <s v="Clerical"/>
    <x v="0"/>
    <x v="0"/>
    <x v="0"/>
    <x v="0"/>
    <x v="17"/>
    <x v="0"/>
    <x v="0"/>
  </r>
  <r>
    <n v="25266"/>
    <x v="1"/>
    <x v="0"/>
    <n v="30000"/>
    <x v="4"/>
    <x v="1"/>
    <s v="Clerical"/>
    <x v="1"/>
    <x v="2"/>
    <x v="2"/>
    <x v="1"/>
    <x v="41"/>
    <x v="1"/>
    <x v="0"/>
  </r>
  <r>
    <n v="17960"/>
    <x v="0"/>
    <x v="0"/>
    <n v="40000"/>
    <x v="3"/>
    <x v="4"/>
    <s v="Clerical"/>
    <x v="0"/>
    <x v="0"/>
    <x v="0"/>
    <x v="0"/>
    <x v="11"/>
    <x v="0"/>
    <x v="1"/>
  </r>
  <r>
    <n v="13961"/>
    <x v="0"/>
    <x v="0"/>
    <n v="80000"/>
    <x v="2"/>
    <x v="4"/>
    <s v="Management"/>
    <x v="0"/>
    <x v="4"/>
    <x v="0"/>
    <x v="1"/>
    <x v="8"/>
    <x v="0"/>
    <x v="0"/>
  </r>
  <r>
    <n v="11897"/>
    <x v="1"/>
    <x v="1"/>
    <n v="60000"/>
    <x v="4"/>
    <x v="0"/>
    <s v="Professional"/>
    <x v="1"/>
    <x v="1"/>
    <x v="0"/>
    <x v="1"/>
    <x v="34"/>
    <x v="0"/>
    <x v="1"/>
  </r>
  <r>
    <n v="11139"/>
    <x v="1"/>
    <x v="0"/>
    <n v="30000"/>
    <x v="4"/>
    <x v="1"/>
    <s v="Clerical"/>
    <x v="1"/>
    <x v="2"/>
    <x v="2"/>
    <x v="1"/>
    <x v="41"/>
    <x v="1"/>
    <x v="0"/>
  </r>
  <r>
    <n v="11576"/>
    <x v="0"/>
    <x v="1"/>
    <n v="30000"/>
    <x v="0"/>
    <x v="0"/>
    <s v="Skilled Manual"/>
    <x v="0"/>
    <x v="2"/>
    <x v="0"/>
    <x v="0"/>
    <x v="3"/>
    <x v="0"/>
    <x v="1"/>
  </r>
  <r>
    <n v="19255"/>
    <x v="1"/>
    <x v="1"/>
    <n v="10000"/>
    <x v="4"/>
    <x v="1"/>
    <s v="Manual"/>
    <x v="0"/>
    <x v="1"/>
    <x v="0"/>
    <x v="0"/>
    <x v="36"/>
    <x v="0"/>
    <x v="1"/>
  </r>
  <r>
    <n v="18153"/>
    <x v="0"/>
    <x v="0"/>
    <n v="100000"/>
    <x v="4"/>
    <x v="0"/>
    <s v="Management"/>
    <x v="0"/>
    <x v="3"/>
    <x v="4"/>
    <x v="0"/>
    <x v="14"/>
    <x v="1"/>
    <x v="0"/>
  </r>
  <r>
    <n v="14547"/>
    <x v="0"/>
    <x v="1"/>
    <n v="10000"/>
    <x v="4"/>
    <x v="1"/>
    <s v="Manual"/>
    <x v="0"/>
    <x v="0"/>
    <x v="3"/>
    <x v="0"/>
    <x v="36"/>
    <x v="0"/>
    <x v="0"/>
  </r>
  <r>
    <n v="24901"/>
    <x v="1"/>
    <x v="1"/>
    <n v="110000"/>
    <x v="3"/>
    <x v="1"/>
    <s v="Management"/>
    <x v="1"/>
    <x v="4"/>
    <x v="4"/>
    <x v="1"/>
    <x v="21"/>
    <x v="0"/>
    <x v="1"/>
  </r>
  <r>
    <n v="27169"/>
    <x v="1"/>
    <x v="1"/>
    <n v="30000"/>
    <x v="3"/>
    <x v="2"/>
    <s v="Manual"/>
    <x v="0"/>
    <x v="1"/>
    <x v="1"/>
    <x v="0"/>
    <x v="17"/>
    <x v="0"/>
    <x v="1"/>
  </r>
  <r>
    <n v="14805"/>
    <x v="1"/>
    <x v="0"/>
    <n v="10000"/>
    <x v="1"/>
    <x v="3"/>
    <s v="Manual"/>
    <x v="0"/>
    <x v="2"/>
    <x v="0"/>
    <x v="0"/>
    <x v="1"/>
    <x v="0"/>
    <x v="0"/>
  </r>
  <r>
    <n v="15822"/>
    <x v="0"/>
    <x v="1"/>
    <n v="40000"/>
    <x v="4"/>
    <x v="0"/>
    <s v="Management"/>
    <x v="0"/>
    <x v="2"/>
    <x v="0"/>
    <x v="1"/>
    <x v="41"/>
    <x v="1"/>
    <x v="0"/>
  </r>
  <r>
    <n v="19389"/>
    <x v="1"/>
    <x v="1"/>
    <n v="30000"/>
    <x v="3"/>
    <x v="1"/>
    <s v="Clerical"/>
    <x v="1"/>
    <x v="1"/>
    <x v="1"/>
    <x v="0"/>
    <x v="26"/>
    <x v="2"/>
    <x v="0"/>
  </r>
  <r>
    <n v="17048"/>
    <x v="1"/>
    <x v="0"/>
    <n v="90000"/>
    <x v="0"/>
    <x v="4"/>
    <s v="Management"/>
    <x v="0"/>
    <x v="0"/>
    <x v="0"/>
    <x v="1"/>
    <x v="4"/>
    <x v="0"/>
    <x v="1"/>
  </r>
  <r>
    <n v="22204"/>
    <x v="0"/>
    <x v="1"/>
    <n v="110000"/>
    <x v="5"/>
    <x v="0"/>
    <s v="Management"/>
    <x v="0"/>
    <x v="4"/>
    <x v="1"/>
    <x v="1"/>
    <x v="28"/>
    <x v="0"/>
    <x v="0"/>
  </r>
  <r>
    <n v="12718"/>
    <x v="1"/>
    <x v="0"/>
    <n v="30000"/>
    <x v="3"/>
    <x v="1"/>
    <s v="Clerical"/>
    <x v="0"/>
    <x v="1"/>
    <x v="1"/>
    <x v="0"/>
    <x v="23"/>
    <x v="0"/>
    <x v="0"/>
  </r>
  <r>
    <n v="15019"/>
    <x v="1"/>
    <x v="0"/>
    <n v="30000"/>
    <x v="1"/>
    <x v="2"/>
    <s v="Skilled Manual"/>
    <x v="0"/>
    <x v="2"/>
    <x v="2"/>
    <x v="1"/>
    <x v="10"/>
    <x v="1"/>
    <x v="0"/>
  </r>
  <r>
    <n v="28488"/>
    <x v="1"/>
    <x v="1"/>
    <n v="20000"/>
    <x v="3"/>
    <x v="1"/>
    <s v="Manual"/>
    <x v="0"/>
    <x v="0"/>
    <x v="0"/>
    <x v="1"/>
    <x v="26"/>
    <x v="2"/>
    <x v="1"/>
  </r>
  <r>
    <n v="21891"/>
    <x v="0"/>
    <x v="0"/>
    <n v="110000"/>
    <x v="3"/>
    <x v="2"/>
    <s v="Management"/>
    <x v="0"/>
    <x v="4"/>
    <x v="4"/>
    <x v="1"/>
    <x v="17"/>
    <x v="0"/>
    <x v="1"/>
  </r>
  <r>
    <n v="27814"/>
    <x v="1"/>
    <x v="0"/>
    <n v="30000"/>
    <x v="1"/>
    <x v="1"/>
    <s v="Clerical"/>
    <x v="1"/>
    <x v="1"/>
    <x v="0"/>
    <x v="0"/>
    <x v="22"/>
    <x v="2"/>
    <x v="0"/>
  </r>
  <r>
    <n v="22175"/>
    <x v="0"/>
    <x v="0"/>
    <n v="30000"/>
    <x v="1"/>
    <x v="2"/>
    <s v="Skilled Manual"/>
    <x v="0"/>
    <x v="2"/>
    <x v="2"/>
    <x v="1"/>
    <x v="39"/>
    <x v="0"/>
    <x v="1"/>
  </r>
  <r>
    <n v="29447"/>
    <x v="1"/>
    <x v="0"/>
    <n v="10000"/>
    <x v="4"/>
    <x v="0"/>
    <s v="Clerical"/>
    <x v="1"/>
    <x v="1"/>
    <x v="1"/>
    <x v="0"/>
    <x v="35"/>
    <x v="1"/>
    <x v="0"/>
  </r>
  <r>
    <n v="19784"/>
    <x v="0"/>
    <x v="0"/>
    <n v="80000"/>
    <x v="4"/>
    <x v="2"/>
    <s v="Skilled Manual"/>
    <x v="0"/>
    <x v="2"/>
    <x v="2"/>
    <x v="1"/>
    <x v="5"/>
    <x v="0"/>
    <x v="1"/>
  </r>
  <r>
    <n v="27824"/>
    <x v="1"/>
    <x v="0"/>
    <n v="30000"/>
    <x v="1"/>
    <x v="1"/>
    <s v="Clerical"/>
    <x v="0"/>
    <x v="2"/>
    <x v="0"/>
    <x v="0"/>
    <x v="26"/>
    <x v="2"/>
    <x v="1"/>
  </r>
  <r>
    <n v="24093"/>
    <x v="1"/>
    <x v="0"/>
    <n v="80000"/>
    <x v="3"/>
    <x v="4"/>
    <s v="Skilled Manual"/>
    <x v="1"/>
    <x v="0"/>
    <x v="0"/>
    <x v="0"/>
    <x v="8"/>
    <x v="0"/>
    <x v="1"/>
  </r>
  <r>
    <n v="19618"/>
    <x v="0"/>
    <x v="1"/>
    <n v="70000"/>
    <x v="2"/>
    <x v="1"/>
    <s v="Skilled Manual"/>
    <x v="0"/>
    <x v="2"/>
    <x v="0"/>
    <x v="1"/>
    <x v="20"/>
    <x v="0"/>
    <x v="0"/>
  </r>
  <r>
    <n v="21561"/>
    <x v="1"/>
    <x v="1"/>
    <n v="90000"/>
    <x v="3"/>
    <x v="0"/>
    <s v="Professional"/>
    <x v="1"/>
    <x v="4"/>
    <x v="4"/>
    <x v="1"/>
    <x v="17"/>
    <x v="0"/>
    <x v="1"/>
  </r>
  <r>
    <n v="11061"/>
    <x v="0"/>
    <x v="1"/>
    <n v="70000"/>
    <x v="4"/>
    <x v="1"/>
    <s v="Skilled Manual"/>
    <x v="0"/>
    <x v="2"/>
    <x v="2"/>
    <x v="1"/>
    <x v="31"/>
    <x v="0"/>
    <x v="1"/>
  </r>
  <r>
    <n v="26651"/>
    <x v="1"/>
    <x v="1"/>
    <n v="80000"/>
    <x v="5"/>
    <x v="4"/>
    <s v="Management"/>
    <x v="0"/>
    <x v="0"/>
    <x v="0"/>
    <x v="1"/>
    <x v="4"/>
    <x v="0"/>
    <x v="1"/>
  </r>
  <r>
    <n v="21108"/>
    <x v="0"/>
    <x v="0"/>
    <n v="40000"/>
    <x v="0"/>
    <x v="0"/>
    <s v="Skilled Manual"/>
    <x v="0"/>
    <x v="1"/>
    <x v="0"/>
    <x v="0"/>
    <x v="1"/>
    <x v="0"/>
    <x v="1"/>
  </r>
  <r>
    <n v="12731"/>
    <x v="1"/>
    <x v="1"/>
    <n v="30000"/>
    <x v="3"/>
    <x v="2"/>
    <s v="Manual"/>
    <x v="1"/>
    <x v="1"/>
    <x v="3"/>
    <x v="0"/>
    <x v="21"/>
    <x v="0"/>
    <x v="0"/>
  </r>
  <r>
    <n v="25307"/>
    <x v="0"/>
    <x v="0"/>
    <n v="40000"/>
    <x v="0"/>
    <x v="0"/>
    <s v="Skilled Manual"/>
    <x v="0"/>
    <x v="1"/>
    <x v="3"/>
    <x v="0"/>
    <x v="21"/>
    <x v="0"/>
    <x v="1"/>
  </r>
  <r>
    <n v="14278"/>
    <x v="0"/>
    <x v="0"/>
    <n v="130000"/>
    <x v="3"/>
    <x v="4"/>
    <s v="Management"/>
    <x v="0"/>
    <x v="1"/>
    <x v="4"/>
    <x v="1"/>
    <x v="28"/>
    <x v="0"/>
    <x v="0"/>
  </r>
  <r>
    <n v="20711"/>
    <x v="0"/>
    <x v="0"/>
    <n v="40000"/>
    <x v="0"/>
    <x v="0"/>
    <s v="Skilled Manual"/>
    <x v="0"/>
    <x v="0"/>
    <x v="3"/>
    <x v="0"/>
    <x v="21"/>
    <x v="0"/>
    <x v="1"/>
  </r>
  <r>
    <n v="11383"/>
    <x v="0"/>
    <x v="0"/>
    <n v="30000"/>
    <x v="1"/>
    <x v="4"/>
    <s v="Clerical"/>
    <x v="0"/>
    <x v="0"/>
    <x v="0"/>
    <x v="0"/>
    <x v="30"/>
    <x v="0"/>
    <x v="0"/>
  </r>
  <r>
    <n v="12497"/>
    <x v="0"/>
    <x v="0"/>
    <n v="40000"/>
    <x v="0"/>
    <x v="0"/>
    <s v="Skilled Manual"/>
    <x v="0"/>
    <x v="0"/>
    <x v="0"/>
    <x v="0"/>
    <x v="0"/>
    <x v="0"/>
    <x v="0"/>
  </r>
  <r>
    <n v="16559"/>
    <x v="1"/>
    <x v="0"/>
    <n v="10000"/>
    <x v="4"/>
    <x v="2"/>
    <s v="Manual"/>
    <x v="0"/>
    <x v="0"/>
    <x v="0"/>
    <x v="0"/>
    <x v="4"/>
    <x v="0"/>
    <x v="1"/>
  </r>
  <r>
    <n v="11585"/>
    <x v="0"/>
    <x v="0"/>
    <n v="40000"/>
    <x v="0"/>
    <x v="0"/>
    <s v="Skilled Manual"/>
    <x v="0"/>
    <x v="0"/>
    <x v="0"/>
    <x v="0"/>
    <x v="3"/>
    <x v="0"/>
    <x v="0"/>
  </r>
  <r>
    <n v="20277"/>
    <x v="0"/>
    <x v="0"/>
    <n v="30000"/>
    <x v="4"/>
    <x v="1"/>
    <s v="Clerical"/>
    <x v="1"/>
    <x v="2"/>
    <x v="0"/>
    <x v="1"/>
    <x v="45"/>
    <x v="1"/>
    <x v="0"/>
  </r>
  <r>
    <n v="26765"/>
    <x v="1"/>
    <x v="0"/>
    <n v="70000"/>
    <x v="2"/>
    <x v="1"/>
    <s v="Skilled Manual"/>
    <x v="0"/>
    <x v="2"/>
    <x v="2"/>
    <x v="1"/>
    <x v="12"/>
    <x v="0"/>
    <x v="0"/>
  </r>
  <r>
    <n v="12389"/>
    <x v="1"/>
    <x v="1"/>
    <n v="30000"/>
    <x v="3"/>
    <x v="2"/>
    <s v="Manual"/>
    <x v="1"/>
    <x v="1"/>
    <x v="1"/>
    <x v="0"/>
    <x v="17"/>
    <x v="0"/>
    <x v="0"/>
  </r>
  <r>
    <n v="13585"/>
    <x v="0"/>
    <x v="0"/>
    <n v="80000"/>
    <x v="5"/>
    <x v="1"/>
    <s v="Professional"/>
    <x v="1"/>
    <x v="1"/>
    <x v="1"/>
    <x v="0"/>
    <x v="39"/>
    <x v="0"/>
    <x v="1"/>
  </r>
  <r>
    <n v="26385"/>
    <x v="1"/>
    <x v="1"/>
    <n v="120000"/>
    <x v="1"/>
    <x v="2"/>
    <s v="Professional"/>
    <x v="1"/>
    <x v="3"/>
    <x v="2"/>
    <x v="0"/>
    <x v="5"/>
    <x v="0"/>
    <x v="0"/>
  </r>
  <r>
    <n v="12236"/>
    <x v="0"/>
    <x v="0"/>
    <n v="20000"/>
    <x v="0"/>
    <x v="1"/>
    <s v="Manual"/>
    <x v="0"/>
    <x v="0"/>
    <x v="0"/>
    <x v="0"/>
    <x v="27"/>
    <x v="1"/>
    <x v="0"/>
  </r>
  <r>
    <n v="21560"/>
    <x v="0"/>
    <x v="1"/>
    <n v="120000"/>
    <x v="3"/>
    <x v="3"/>
    <s v="Professional"/>
    <x v="0"/>
    <x v="3"/>
    <x v="4"/>
    <x v="1"/>
    <x v="21"/>
    <x v="0"/>
    <x v="1"/>
  </r>
  <r>
    <n v="21554"/>
    <x v="1"/>
    <x v="0"/>
    <n v="80000"/>
    <x v="3"/>
    <x v="0"/>
    <s v="Professional"/>
    <x v="1"/>
    <x v="4"/>
    <x v="4"/>
    <x v="1"/>
    <x v="6"/>
    <x v="0"/>
    <x v="0"/>
  </r>
  <r>
    <n v="13662"/>
    <x v="1"/>
    <x v="1"/>
    <n v="20000"/>
    <x v="3"/>
    <x v="3"/>
    <s v="Manual"/>
    <x v="0"/>
    <x v="2"/>
    <x v="3"/>
    <x v="0"/>
    <x v="23"/>
    <x v="0"/>
    <x v="1"/>
  </r>
  <r>
    <n v="13089"/>
    <x v="0"/>
    <x v="0"/>
    <n v="120000"/>
    <x v="0"/>
    <x v="0"/>
    <s v="Management"/>
    <x v="0"/>
    <x v="2"/>
    <x v="0"/>
    <x v="1"/>
    <x v="30"/>
    <x v="0"/>
    <x v="1"/>
  </r>
  <r>
    <n v="14791"/>
    <x v="0"/>
    <x v="0"/>
    <n v="40000"/>
    <x v="3"/>
    <x v="0"/>
    <s v="Clerical"/>
    <x v="0"/>
    <x v="0"/>
    <x v="0"/>
    <x v="0"/>
    <x v="32"/>
    <x v="0"/>
    <x v="1"/>
  </r>
  <r>
    <n v="19331"/>
    <x v="1"/>
    <x v="1"/>
    <n v="20000"/>
    <x v="4"/>
    <x v="2"/>
    <s v="Manual"/>
    <x v="0"/>
    <x v="1"/>
    <x v="0"/>
    <x v="0"/>
    <x v="8"/>
    <x v="0"/>
    <x v="0"/>
  </r>
  <r>
    <n v="17754"/>
    <x v="1"/>
    <x v="0"/>
    <n v="30000"/>
    <x v="1"/>
    <x v="0"/>
    <s v="Clerical"/>
    <x v="0"/>
    <x v="0"/>
    <x v="0"/>
    <x v="0"/>
    <x v="30"/>
    <x v="0"/>
    <x v="1"/>
  </r>
  <r>
    <n v="11149"/>
    <x v="0"/>
    <x v="1"/>
    <n v="40000"/>
    <x v="4"/>
    <x v="0"/>
    <s v="Management"/>
    <x v="0"/>
    <x v="2"/>
    <x v="0"/>
    <x v="1"/>
    <x v="27"/>
    <x v="1"/>
    <x v="0"/>
  </r>
  <r>
    <n v="16549"/>
    <x v="1"/>
    <x v="0"/>
    <n v="30000"/>
    <x v="1"/>
    <x v="0"/>
    <s v="Clerical"/>
    <x v="0"/>
    <x v="0"/>
    <x v="0"/>
    <x v="0"/>
    <x v="15"/>
    <x v="0"/>
    <x v="1"/>
  </r>
  <r>
    <n v="24305"/>
    <x v="1"/>
    <x v="1"/>
    <n v="100000"/>
    <x v="0"/>
    <x v="0"/>
    <s v="Management"/>
    <x v="1"/>
    <x v="4"/>
    <x v="0"/>
    <x v="1"/>
    <x v="30"/>
    <x v="0"/>
    <x v="1"/>
  </r>
  <r>
    <n v="18253"/>
    <x v="0"/>
    <x v="0"/>
    <n v="80000"/>
    <x v="2"/>
    <x v="4"/>
    <s v="Management"/>
    <x v="0"/>
    <x v="4"/>
    <x v="0"/>
    <x v="1"/>
    <x v="8"/>
    <x v="0"/>
    <x v="0"/>
  </r>
  <r>
    <n v="20147"/>
    <x v="0"/>
    <x v="0"/>
    <n v="30000"/>
    <x v="0"/>
    <x v="0"/>
    <s v="Clerical"/>
    <x v="0"/>
    <x v="0"/>
    <x v="0"/>
    <x v="0"/>
    <x v="27"/>
    <x v="1"/>
    <x v="0"/>
  </r>
  <r>
    <n v="15612"/>
    <x v="1"/>
    <x v="1"/>
    <n v="30000"/>
    <x v="3"/>
    <x v="2"/>
    <s v="Manual"/>
    <x v="1"/>
    <x v="1"/>
    <x v="3"/>
    <x v="0"/>
    <x v="26"/>
    <x v="2"/>
    <x v="0"/>
  </r>
  <r>
    <n v="28323"/>
    <x v="1"/>
    <x v="1"/>
    <n v="70000"/>
    <x v="3"/>
    <x v="0"/>
    <s v="Professional"/>
    <x v="1"/>
    <x v="2"/>
    <x v="2"/>
    <x v="1"/>
    <x v="1"/>
    <x v="0"/>
    <x v="1"/>
  </r>
  <r>
    <n v="22634"/>
    <x v="1"/>
    <x v="0"/>
    <n v="40000"/>
    <x v="3"/>
    <x v="4"/>
    <s v="Clerical"/>
    <x v="0"/>
    <x v="0"/>
    <x v="0"/>
    <x v="0"/>
    <x v="13"/>
    <x v="0"/>
    <x v="1"/>
  </r>
  <r>
    <n v="15665"/>
    <x v="0"/>
    <x v="0"/>
    <n v="30000"/>
    <x v="3"/>
    <x v="0"/>
    <s v="Clerical"/>
    <x v="0"/>
    <x v="0"/>
    <x v="0"/>
    <x v="0"/>
    <x v="15"/>
    <x v="0"/>
    <x v="1"/>
  </r>
  <r>
    <n v="27585"/>
    <x v="0"/>
    <x v="0"/>
    <n v="90000"/>
    <x v="4"/>
    <x v="0"/>
    <s v="Professional"/>
    <x v="1"/>
    <x v="0"/>
    <x v="0"/>
    <x v="1"/>
    <x v="4"/>
    <x v="0"/>
    <x v="1"/>
  </r>
  <r>
    <n v="19748"/>
    <x v="0"/>
    <x v="1"/>
    <n v="20000"/>
    <x v="5"/>
    <x v="2"/>
    <s v="Skilled Manual"/>
    <x v="1"/>
    <x v="2"/>
    <x v="3"/>
    <x v="1"/>
    <x v="2"/>
    <x v="1"/>
    <x v="0"/>
  </r>
  <r>
    <n v="21974"/>
    <x v="1"/>
    <x v="0"/>
    <n v="70000"/>
    <x v="3"/>
    <x v="0"/>
    <s v="Professional"/>
    <x v="0"/>
    <x v="1"/>
    <x v="2"/>
    <x v="1"/>
    <x v="0"/>
    <x v="0"/>
    <x v="1"/>
  </r>
  <r>
    <n v="14032"/>
    <x v="0"/>
    <x v="1"/>
    <n v="70000"/>
    <x v="4"/>
    <x v="2"/>
    <s v="Skilled Manual"/>
    <x v="1"/>
    <x v="2"/>
    <x v="3"/>
    <x v="1"/>
    <x v="5"/>
    <x v="0"/>
    <x v="1"/>
  </r>
  <r>
    <n v="22610"/>
    <x v="0"/>
    <x v="1"/>
    <n v="30000"/>
    <x v="3"/>
    <x v="0"/>
    <s v="Clerical"/>
    <x v="0"/>
    <x v="0"/>
    <x v="0"/>
    <x v="0"/>
    <x v="11"/>
    <x v="0"/>
    <x v="1"/>
  </r>
  <r>
    <n v="26984"/>
    <x v="0"/>
    <x v="1"/>
    <n v="40000"/>
    <x v="0"/>
    <x v="0"/>
    <s v="Skilled Manual"/>
    <x v="0"/>
    <x v="1"/>
    <x v="0"/>
    <x v="0"/>
    <x v="21"/>
    <x v="0"/>
    <x v="1"/>
  </r>
  <r>
    <n v="18294"/>
    <x v="0"/>
    <x v="0"/>
    <n v="90000"/>
    <x v="0"/>
    <x v="0"/>
    <s v="Professional"/>
    <x v="0"/>
    <x v="1"/>
    <x v="2"/>
    <x v="1"/>
    <x v="30"/>
    <x v="0"/>
    <x v="0"/>
  </r>
  <r>
    <n v="28564"/>
    <x v="1"/>
    <x v="0"/>
    <n v="40000"/>
    <x v="4"/>
    <x v="1"/>
    <s v="Clerical"/>
    <x v="0"/>
    <x v="0"/>
    <x v="3"/>
    <x v="0"/>
    <x v="6"/>
    <x v="0"/>
    <x v="1"/>
  </r>
  <r>
    <n v="28521"/>
    <x v="1"/>
    <x v="1"/>
    <n v="40000"/>
    <x v="3"/>
    <x v="4"/>
    <s v="Clerical"/>
    <x v="1"/>
    <x v="0"/>
    <x v="0"/>
    <x v="0"/>
    <x v="4"/>
    <x v="0"/>
    <x v="1"/>
  </r>
  <r>
    <n v="15450"/>
    <x v="0"/>
    <x v="1"/>
    <n v="10000"/>
    <x v="0"/>
    <x v="4"/>
    <s v="Clerical"/>
    <x v="0"/>
    <x v="0"/>
    <x v="0"/>
    <x v="0"/>
    <x v="43"/>
    <x v="1"/>
    <x v="0"/>
  </r>
  <r>
    <n v="25681"/>
    <x v="1"/>
    <x v="0"/>
    <n v="30000"/>
    <x v="3"/>
    <x v="1"/>
    <s v="Clerical"/>
    <x v="1"/>
    <x v="1"/>
    <x v="1"/>
    <x v="0"/>
    <x v="23"/>
    <x v="0"/>
    <x v="1"/>
  </r>
  <r>
    <n v="19491"/>
    <x v="1"/>
    <x v="1"/>
    <n v="30000"/>
    <x v="4"/>
    <x v="1"/>
    <s v="Clerical"/>
    <x v="0"/>
    <x v="2"/>
    <x v="0"/>
    <x v="0"/>
    <x v="0"/>
    <x v="0"/>
    <x v="0"/>
  </r>
  <r>
    <n v="26415"/>
    <x v="0"/>
    <x v="0"/>
    <n v="90000"/>
    <x v="5"/>
    <x v="3"/>
    <s v="Skilled Manual"/>
    <x v="0"/>
    <x v="3"/>
    <x v="4"/>
    <x v="0"/>
    <x v="7"/>
    <x v="1"/>
    <x v="0"/>
  </r>
  <r>
    <n v="12821"/>
    <x v="0"/>
    <x v="1"/>
    <n v="40000"/>
    <x v="3"/>
    <x v="0"/>
    <s v="Clerical"/>
    <x v="0"/>
    <x v="0"/>
    <x v="0"/>
    <x v="0"/>
    <x v="32"/>
    <x v="0"/>
    <x v="0"/>
  </r>
  <r>
    <n v="15629"/>
    <x v="1"/>
    <x v="0"/>
    <n v="10000"/>
    <x v="3"/>
    <x v="3"/>
    <s v="Manual"/>
    <x v="0"/>
    <x v="2"/>
    <x v="3"/>
    <x v="0"/>
    <x v="17"/>
    <x v="0"/>
    <x v="0"/>
  </r>
  <r>
    <n v="27835"/>
    <x v="0"/>
    <x v="1"/>
    <n v="20000"/>
    <x v="3"/>
    <x v="3"/>
    <s v="Manual"/>
    <x v="0"/>
    <x v="2"/>
    <x v="0"/>
    <x v="0"/>
    <x v="21"/>
    <x v="0"/>
    <x v="0"/>
  </r>
  <r>
    <n v="11738"/>
    <x v="0"/>
    <x v="1"/>
    <n v="60000"/>
    <x v="5"/>
    <x v="0"/>
    <s v="Professional"/>
    <x v="0"/>
    <x v="0"/>
    <x v="1"/>
    <x v="2"/>
    <x v="30"/>
    <x v="0"/>
    <x v="0"/>
  </r>
  <r>
    <n v="25065"/>
    <x v="0"/>
    <x v="1"/>
    <n v="70000"/>
    <x v="4"/>
    <x v="3"/>
    <s v="Skilled Manual"/>
    <x v="0"/>
    <x v="2"/>
    <x v="2"/>
    <x v="2"/>
    <x v="28"/>
    <x v="0"/>
    <x v="0"/>
  </r>
  <r>
    <n v="26238"/>
    <x v="1"/>
    <x v="0"/>
    <n v="40000"/>
    <x v="1"/>
    <x v="1"/>
    <s v="Clerical"/>
    <x v="0"/>
    <x v="1"/>
    <x v="3"/>
    <x v="2"/>
    <x v="23"/>
    <x v="0"/>
    <x v="1"/>
  </r>
  <r>
    <n v="23707"/>
    <x v="1"/>
    <x v="1"/>
    <n v="70000"/>
    <x v="2"/>
    <x v="0"/>
    <s v="Management"/>
    <x v="0"/>
    <x v="4"/>
    <x v="4"/>
    <x v="2"/>
    <x v="2"/>
    <x v="1"/>
    <x v="1"/>
  </r>
  <r>
    <n v="27650"/>
    <x v="0"/>
    <x v="1"/>
    <n v="70000"/>
    <x v="5"/>
    <x v="2"/>
    <s v="Professional"/>
    <x v="0"/>
    <x v="0"/>
    <x v="2"/>
    <x v="2"/>
    <x v="36"/>
    <x v="0"/>
    <x v="0"/>
  </r>
  <r>
    <n v="24981"/>
    <x v="0"/>
    <x v="1"/>
    <n v="60000"/>
    <x v="4"/>
    <x v="1"/>
    <s v="Professional"/>
    <x v="0"/>
    <x v="2"/>
    <x v="4"/>
    <x v="2"/>
    <x v="16"/>
    <x v="1"/>
    <x v="0"/>
  </r>
  <r>
    <n v="20678"/>
    <x v="1"/>
    <x v="0"/>
    <n v="60000"/>
    <x v="1"/>
    <x v="0"/>
    <s v="Skilled Manual"/>
    <x v="0"/>
    <x v="1"/>
    <x v="1"/>
    <x v="2"/>
    <x v="8"/>
    <x v="0"/>
    <x v="1"/>
  </r>
  <r>
    <n v="15302"/>
    <x v="1"/>
    <x v="0"/>
    <n v="70000"/>
    <x v="0"/>
    <x v="4"/>
    <s v="Professional"/>
    <x v="0"/>
    <x v="0"/>
    <x v="1"/>
    <x v="2"/>
    <x v="17"/>
    <x v="0"/>
    <x v="1"/>
  </r>
  <r>
    <n v="26012"/>
    <x v="0"/>
    <x v="1"/>
    <n v="80000"/>
    <x v="0"/>
    <x v="1"/>
    <s v="Skilled Manual"/>
    <x v="0"/>
    <x v="1"/>
    <x v="1"/>
    <x v="2"/>
    <x v="28"/>
    <x v="0"/>
    <x v="1"/>
  </r>
  <r>
    <n v="26575"/>
    <x v="1"/>
    <x v="0"/>
    <n v="40000"/>
    <x v="3"/>
    <x v="2"/>
    <s v="Skilled Manual"/>
    <x v="1"/>
    <x v="2"/>
    <x v="3"/>
    <x v="2"/>
    <x v="23"/>
    <x v="0"/>
    <x v="1"/>
  </r>
  <r>
    <n v="15559"/>
    <x v="0"/>
    <x v="1"/>
    <n v="60000"/>
    <x v="2"/>
    <x v="0"/>
    <s v="Professional"/>
    <x v="0"/>
    <x v="1"/>
    <x v="1"/>
    <x v="2"/>
    <x v="15"/>
    <x v="0"/>
    <x v="0"/>
  </r>
  <r>
    <n v="19235"/>
    <x v="0"/>
    <x v="0"/>
    <n v="50000"/>
    <x v="3"/>
    <x v="4"/>
    <s v="Skilled Manual"/>
    <x v="0"/>
    <x v="0"/>
    <x v="0"/>
    <x v="2"/>
    <x v="17"/>
    <x v="0"/>
    <x v="0"/>
  </r>
  <r>
    <n v="15275"/>
    <x v="0"/>
    <x v="1"/>
    <n v="40000"/>
    <x v="3"/>
    <x v="1"/>
    <s v="Skilled Manual"/>
    <x v="0"/>
    <x v="1"/>
    <x v="2"/>
    <x v="2"/>
    <x v="19"/>
    <x v="2"/>
    <x v="0"/>
  </r>
  <r>
    <n v="20339"/>
    <x v="0"/>
    <x v="0"/>
    <n v="130000"/>
    <x v="0"/>
    <x v="0"/>
    <s v="Management"/>
    <x v="0"/>
    <x v="3"/>
    <x v="1"/>
    <x v="2"/>
    <x v="20"/>
    <x v="0"/>
    <x v="1"/>
  </r>
  <r>
    <n v="25405"/>
    <x v="0"/>
    <x v="1"/>
    <n v="70000"/>
    <x v="4"/>
    <x v="0"/>
    <s v="Skilled Manual"/>
    <x v="0"/>
    <x v="1"/>
    <x v="1"/>
    <x v="2"/>
    <x v="13"/>
    <x v="0"/>
    <x v="1"/>
  </r>
  <r>
    <n v="15940"/>
    <x v="0"/>
    <x v="1"/>
    <n v="100000"/>
    <x v="5"/>
    <x v="1"/>
    <s v="Professional"/>
    <x v="0"/>
    <x v="3"/>
    <x v="0"/>
    <x v="2"/>
    <x v="8"/>
    <x v="0"/>
    <x v="0"/>
  </r>
  <r>
    <n v="25074"/>
    <x v="0"/>
    <x v="0"/>
    <n v="70000"/>
    <x v="5"/>
    <x v="0"/>
    <s v="Professional"/>
    <x v="0"/>
    <x v="2"/>
    <x v="1"/>
    <x v="2"/>
    <x v="0"/>
    <x v="0"/>
    <x v="1"/>
  </r>
  <r>
    <n v="24738"/>
    <x v="0"/>
    <x v="0"/>
    <n v="40000"/>
    <x v="0"/>
    <x v="1"/>
    <s v="Clerical"/>
    <x v="0"/>
    <x v="1"/>
    <x v="3"/>
    <x v="2"/>
    <x v="36"/>
    <x v="0"/>
    <x v="1"/>
  </r>
  <r>
    <n v="16337"/>
    <x v="0"/>
    <x v="1"/>
    <n v="60000"/>
    <x v="3"/>
    <x v="1"/>
    <s v="Skilled Manual"/>
    <x v="1"/>
    <x v="2"/>
    <x v="3"/>
    <x v="2"/>
    <x v="19"/>
    <x v="2"/>
    <x v="0"/>
  </r>
  <r>
    <n v="24357"/>
    <x v="0"/>
    <x v="1"/>
    <n v="80000"/>
    <x v="1"/>
    <x v="0"/>
    <s v="Professional"/>
    <x v="0"/>
    <x v="1"/>
    <x v="1"/>
    <x v="2"/>
    <x v="28"/>
    <x v="0"/>
    <x v="1"/>
  </r>
  <r>
    <n v="18613"/>
    <x v="1"/>
    <x v="1"/>
    <n v="70000"/>
    <x v="3"/>
    <x v="0"/>
    <s v="Professional"/>
    <x v="1"/>
    <x v="1"/>
    <x v="1"/>
    <x v="2"/>
    <x v="34"/>
    <x v="0"/>
    <x v="1"/>
  </r>
  <r>
    <n v="12207"/>
    <x v="1"/>
    <x v="1"/>
    <n v="80000"/>
    <x v="5"/>
    <x v="0"/>
    <s v="Management"/>
    <x v="0"/>
    <x v="0"/>
    <x v="2"/>
    <x v="2"/>
    <x v="29"/>
    <x v="1"/>
    <x v="1"/>
  </r>
  <r>
    <n v="18052"/>
    <x v="0"/>
    <x v="0"/>
    <n v="60000"/>
    <x v="0"/>
    <x v="1"/>
    <s v="Skilled Manual"/>
    <x v="0"/>
    <x v="1"/>
    <x v="0"/>
    <x v="2"/>
    <x v="12"/>
    <x v="0"/>
    <x v="1"/>
  </r>
  <r>
    <n v="13353"/>
    <x v="1"/>
    <x v="0"/>
    <n v="60000"/>
    <x v="5"/>
    <x v="4"/>
    <s v="Management"/>
    <x v="0"/>
    <x v="2"/>
    <x v="4"/>
    <x v="2"/>
    <x v="33"/>
    <x v="1"/>
    <x v="1"/>
  </r>
  <r>
    <n v="19399"/>
    <x v="1"/>
    <x v="1"/>
    <n v="40000"/>
    <x v="3"/>
    <x v="0"/>
    <s v="Professional"/>
    <x v="1"/>
    <x v="1"/>
    <x v="1"/>
    <x v="2"/>
    <x v="12"/>
    <x v="0"/>
    <x v="0"/>
  </r>
  <r>
    <n v="16154"/>
    <x v="0"/>
    <x v="0"/>
    <n v="70000"/>
    <x v="2"/>
    <x v="0"/>
    <s v="Professional"/>
    <x v="0"/>
    <x v="2"/>
    <x v="1"/>
    <x v="2"/>
    <x v="15"/>
    <x v="0"/>
    <x v="0"/>
  </r>
  <r>
    <n v="22219"/>
    <x v="0"/>
    <x v="0"/>
    <n v="60000"/>
    <x v="4"/>
    <x v="2"/>
    <s v="Professional"/>
    <x v="0"/>
    <x v="2"/>
    <x v="2"/>
    <x v="2"/>
    <x v="38"/>
    <x v="0"/>
    <x v="0"/>
  </r>
  <r>
    <n v="17269"/>
    <x v="1"/>
    <x v="1"/>
    <n v="60000"/>
    <x v="1"/>
    <x v="0"/>
    <s v="Professional"/>
    <x v="1"/>
    <x v="0"/>
    <x v="0"/>
    <x v="2"/>
    <x v="15"/>
    <x v="0"/>
    <x v="1"/>
  </r>
  <r>
    <n v="23586"/>
    <x v="0"/>
    <x v="0"/>
    <n v="80000"/>
    <x v="3"/>
    <x v="0"/>
    <s v="Management"/>
    <x v="0"/>
    <x v="1"/>
    <x v="3"/>
    <x v="2"/>
    <x v="17"/>
    <x v="0"/>
    <x v="1"/>
  </r>
  <r>
    <n v="15740"/>
    <x v="0"/>
    <x v="1"/>
    <n v="80000"/>
    <x v="2"/>
    <x v="0"/>
    <s v="Management"/>
    <x v="0"/>
    <x v="2"/>
    <x v="3"/>
    <x v="2"/>
    <x v="46"/>
    <x v="1"/>
    <x v="0"/>
  </r>
  <r>
    <n v="27638"/>
    <x v="1"/>
    <x v="1"/>
    <n v="100000"/>
    <x v="0"/>
    <x v="1"/>
    <s v="Professional"/>
    <x v="1"/>
    <x v="4"/>
    <x v="3"/>
    <x v="2"/>
    <x v="20"/>
    <x v="0"/>
    <x v="0"/>
  </r>
  <r>
    <n v="18976"/>
    <x v="1"/>
    <x v="1"/>
    <n v="40000"/>
    <x v="5"/>
    <x v="2"/>
    <s v="Professional"/>
    <x v="0"/>
    <x v="2"/>
    <x v="4"/>
    <x v="2"/>
    <x v="24"/>
    <x v="1"/>
    <x v="1"/>
  </r>
  <r>
    <n v="19413"/>
    <x v="1"/>
    <x v="1"/>
    <n v="60000"/>
    <x v="1"/>
    <x v="0"/>
    <s v="Professional"/>
    <x v="1"/>
    <x v="1"/>
    <x v="0"/>
    <x v="2"/>
    <x v="15"/>
    <x v="0"/>
    <x v="1"/>
  </r>
  <r>
    <n v="13283"/>
    <x v="0"/>
    <x v="1"/>
    <n v="80000"/>
    <x v="1"/>
    <x v="1"/>
    <s v="Professional"/>
    <x v="1"/>
    <x v="2"/>
    <x v="0"/>
    <x v="2"/>
    <x v="38"/>
    <x v="0"/>
    <x v="1"/>
  </r>
  <r>
    <n v="17471"/>
    <x v="1"/>
    <x v="0"/>
    <n v="80000"/>
    <x v="5"/>
    <x v="4"/>
    <s v="Management"/>
    <x v="0"/>
    <x v="2"/>
    <x v="2"/>
    <x v="2"/>
    <x v="41"/>
    <x v="1"/>
    <x v="0"/>
  </r>
  <r>
    <n v="16791"/>
    <x v="1"/>
    <x v="1"/>
    <n v="60000"/>
    <x v="2"/>
    <x v="0"/>
    <s v="Management"/>
    <x v="0"/>
    <x v="4"/>
    <x v="4"/>
    <x v="2"/>
    <x v="14"/>
    <x v="1"/>
    <x v="1"/>
  </r>
  <r>
    <n v="15382"/>
    <x v="0"/>
    <x v="0"/>
    <n v="110000"/>
    <x v="0"/>
    <x v="0"/>
    <s v="Management"/>
    <x v="0"/>
    <x v="2"/>
    <x v="3"/>
    <x v="2"/>
    <x v="20"/>
    <x v="0"/>
    <x v="0"/>
  </r>
  <r>
    <n v="11641"/>
    <x v="0"/>
    <x v="1"/>
    <n v="50000"/>
    <x v="0"/>
    <x v="0"/>
    <s v="Skilled Manual"/>
    <x v="0"/>
    <x v="0"/>
    <x v="0"/>
    <x v="2"/>
    <x v="4"/>
    <x v="0"/>
    <x v="0"/>
  </r>
  <r>
    <n v="11935"/>
    <x v="1"/>
    <x v="0"/>
    <n v="30000"/>
    <x v="3"/>
    <x v="1"/>
    <s v="Skilled Manual"/>
    <x v="0"/>
    <x v="1"/>
    <x v="2"/>
    <x v="2"/>
    <x v="26"/>
    <x v="2"/>
    <x v="0"/>
  </r>
  <r>
    <n v="13233"/>
    <x v="0"/>
    <x v="1"/>
    <n v="60000"/>
    <x v="4"/>
    <x v="1"/>
    <s v="Professional"/>
    <x v="0"/>
    <x v="1"/>
    <x v="4"/>
    <x v="2"/>
    <x v="42"/>
    <x v="1"/>
    <x v="1"/>
  </r>
  <r>
    <n v="25909"/>
    <x v="0"/>
    <x v="1"/>
    <n v="60000"/>
    <x v="3"/>
    <x v="1"/>
    <s v="Skilled Manual"/>
    <x v="0"/>
    <x v="1"/>
    <x v="2"/>
    <x v="2"/>
    <x v="40"/>
    <x v="2"/>
    <x v="1"/>
  </r>
  <r>
    <n v="14092"/>
    <x v="1"/>
    <x v="1"/>
    <n v="30000"/>
    <x v="3"/>
    <x v="3"/>
    <s v="Clerical"/>
    <x v="0"/>
    <x v="2"/>
    <x v="2"/>
    <x v="2"/>
    <x v="26"/>
    <x v="2"/>
    <x v="0"/>
  </r>
  <r>
    <n v="29143"/>
    <x v="1"/>
    <x v="0"/>
    <n v="60000"/>
    <x v="0"/>
    <x v="0"/>
    <s v="Professional"/>
    <x v="1"/>
    <x v="1"/>
    <x v="0"/>
    <x v="2"/>
    <x v="20"/>
    <x v="0"/>
    <x v="1"/>
  </r>
  <r>
    <n v="24941"/>
    <x v="0"/>
    <x v="1"/>
    <n v="60000"/>
    <x v="1"/>
    <x v="0"/>
    <s v="Management"/>
    <x v="0"/>
    <x v="2"/>
    <x v="4"/>
    <x v="2"/>
    <x v="29"/>
    <x v="1"/>
    <x v="0"/>
  </r>
  <r>
    <n v="24637"/>
    <x v="0"/>
    <x v="1"/>
    <n v="40000"/>
    <x v="5"/>
    <x v="2"/>
    <s v="Professional"/>
    <x v="0"/>
    <x v="2"/>
    <x v="4"/>
    <x v="2"/>
    <x v="46"/>
    <x v="1"/>
    <x v="0"/>
  </r>
  <r>
    <n v="23893"/>
    <x v="0"/>
    <x v="1"/>
    <n v="50000"/>
    <x v="1"/>
    <x v="0"/>
    <s v="Skilled Manual"/>
    <x v="0"/>
    <x v="4"/>
    <x v="4"/>
    <x v="2"/>
    <x v="3"/>
    <x v="0"/>
    <x v="0"/>
  </r>
  <r>
    <n v="13907"/>
    <x v="1"/>
    <x v="0"/>
    <n v="80000"/>
    <x v="1"/>
    <x v="0"/>
    <s v="Skilled Manual"/>
    <x v="0"/>
    <x v="1"/>
    <x v="0"/>
    <x v="2"/>
    <x v="3"/>
    <x v="0"/>
    <x v="1"/>
  </r>
  <r>
    <n v="14900"/>
    <x v="0"/>
    <x v="0"/>
    <n v="40000"/>
    <x v="0"/>
    <x v="1"/>
    <s v="Clerical"/>
    <x v="0"/>
    <x v="1"/>
    <x v="3"/>
    <x v="2"/>
    <x v="38"/>
    <x v="0"/>
    <x v="1"/>
  </r>
  <r>
    <n v="11262"/>
    <x v="0"/>
    <x v="0"/>
    <n v="80000"/>
    <x v="5"/>
    <x v="0"/>
    <s v="Management"/>
    <x v="0"/>
    <x v="0"/>
    <x v="0"/>
    <x v="2"/>
    <x v="0"/>
    <x v="0"/>
    <x v="0"/>
  </r>
  <r>
    <n v="22294"/>
    <x v="1"/>
    <x v="0"/>
    <n v="70000"/>
    <x v="3"/>
    <x v="0"/>
    <s v="Professional"/>
    <x v="1"/>
    <x v="1"/>
    <x v="1"/>
    <x v="2"/>
    <x v="34"/>
    <x v="0"/>
    <x v="1"/>
  </r>
  <r>
    <n v="12195"/>
    <x v="1"/>
    <x v="0"/>
    <n v="70000"/>
    <x v="1"/>
    <x v="4"/>
    <s v="Management"/>
    <x v="0"/>
    <x v="2"/>
    <x v="3"/>
    <x v="2"/>
    <x v="31"/>
    <x v="0"/>
    <x v="0"/>
  </r>
  <r>
    <n v="25375"/>
    <x v="0"/>
    <x v="1"/>
    <n v="50000"/>
    <x v="0"/>
    <x v="4"/>
    <s v="Skilled Manual"/>
    <x v="0"/>
    <x v="0"/>
    <x v="3"/>
    <x v="2"/>
    <x v="17"/>
    <x v="0"/>
    <x v="0"/>
  </r>
  <r>
    <n v="11143"/>
    <x v="0"/>
    <x v="1"/>
    <n v="40000"/>
    <x v="3"/>
    <x v="2"/>
    <s v="Skilled Manual"/>
    <x v="0"/>
    <x v="2"/>
    <x v="2"/>
    <x v="2"/>
    <x v="19"/>
    <x v="2"/>
    <x v="0"/>
  </r>
  <r>
    <n v="25898"/>
    <x v="0"/>
    <x v="0"/>
    <n v="70000"/>
    <x v="4"/>
    <x v="2"/>
    <s v="Professional"/>
    <x v="0"/>
    <x v="2"/>
    <x v="1"/>
    <x v="2"/>
    <x v="39"/>
    <x v="0"/>
    <x v="0"/>
  </r>
  <r>
    <n v="24397"/>
    <x v="1"/>
    <x v="1"/>
    <n v="120000"/>
    <x v="4"/>
    <x v="0"/>
    <s v="Management"/>
    <x v="1"/>
    <x v="3"/>
    <x v="3"/>
    <x v="2"/>
    <x v="8"/>
    <x v="0"/>
    <x v="0"/>
  </r>
  <r>
    <n v="19758"/>
    <x v="1"/>
    <x v="1"/>
    <n v="60000"/>
    <x v="3"/>
    <x v="1"/>
    <s v="Skilled Manual"/>
    <x v="1"/>
    <x v="2"/>
    <x v="3"/>
    <x v="2"/>
    <x v="19"/>
    <x v="2"/>
    <x v="0"/>
  </r>
  <r>
    <n v="15529"/>
    <x v="0"/>
    <x v="1"/>
    <n v="60000"/>
    <x v="5"/>
    <x v="0"/>
    <s v="Professional"/>
    <x v="0"/>
    <x v="2"/>
    <x v="1"/>
    <x v="2"/>
    <x v="1"/>
    <x v="0"/>
    <x v="1"/>
  </r>
  <r>
    <n v="19884"/>
    <x v="0"/>
    <x v="1"/>
    <n v="60000"/>
    <x v="4"/>
    <x v="2"/>
    <s v="Professional"/>
    <x v="0"/>
    <x v="2"/>
    <x v="1"/>
    <x v="2"/>
    <x v="10"/>
    <x v="1"/>
    <x v="1"/>
  </r>
  <r>
    <n v="18674"/>
    <x v="1"/>
    <x v="0"/>
    <n v="80000"/>
    <x v="5"/>
    <x v="4"/>
    <s v="Skilled Manual"/>
    <x v="1"/>
    <x v="0"/>
    <x v="0"/>
    <x v="2"/>
    <x v="28"/>
    <x v="0"/>
    <x v="0"/>
  </r>
  <r>
    <n v="13453"/>
    <x v="0"/>
    <x v="0"/>
    <n v="130000"/>
    <x v="1"/>
    <x v="0"/>
    <s v="Management"/>
    <x v="0"/>
    <x v="4"/>
    <x v="0"/>
    <x v="2"/>
    <x v="12"/>
    <x v="0"/>
    <x v="1"/>
  </r>
  <r>
    <n v="14063"/>
    <x v="1"/>
    <x v="0"/>
    <n v="70000"/>
    <x v="3"/>
    <x v="0"/>
    <s v="Professional"/>
    <x v="1"/>
    <x v="1"/>
    <x v="0"/>
    <x v="1"/>
    <x v="0"/>
    <x v="0"/>
    <x v="1"/>
  </r>
  <r>
    <n v="27393"/>
    <x v="0"/>
    <x v="0"/>
    <n v="50000"/>
    <x v="5"/>
    <x v="0"/>
    <s v="Management"/>
    <x v="0"/>
    <x v="2"/>
    <x v="4"/>
    <x v="2"/>
    <x v="18"/>
    <x v="1"/>
    <x v="0"/>
  </r>
  <r>
    <n v="14417"/>
    <x v="1"/>
    <x v="1"/>
    <n v="60000"/>
    <x v="1"/>
    <x v="2"/>
    <s v="Professional"/>
    <x v="0"/>
    <x v="2"/>
    <x v="4"/>
    <x v="2"/>
    <x v="9"/>
    <x v="0"/>
    <x v="1"/>
  </r>
  <r>
    <n v="17533"/>
    <x v="0"/>
    <x v="1"/>
    <n v="40000"/>
    <x v="1"/>
    <x v="1"/>
    <s v="Professional"/>
    <x v="1"/>
    <x v="2"/>
    <x v="2"/>
    <x v="2"/>
    <x v="49"/>
    <x v="1"/>
    <x v="1"/>
  </r>
  <r>
    <n v="18580"/>
    <x v="0"/>
    <x v="0"/>
    <n v="60000"/>
    <x v="4"/>
    <x v="4"/>
    <s v="Professional"/>
    <x v="0"/>
    <x v="0"/>
    <x v="1"/>
    <x v="2"/>
    <x v="8"/>
    <x v="0"/>
    <x v="1"/>
  </r>
  <r>
    <n v="17025"/>
    <x v="1"/>
    <x v="1"/>
    <n v="50000"/>
    <x v="3"/>
    <x v="1"/>
    <s v="Skilled Manual"/>
    <x v="1"/>
    <x v="1"/>
    <x v="1"/>
    <x v="2"/>
    <x v="32"/>
    <x v="0"/>
    <x v="1"/>
  </r>
  <r>
    <n v="25293"/>
    <x v="0"/>
    <x v="1"/>
    <n v="80000"/>
    <x v="5"/>
    <x v="0"/>
    <s v="Management"/>
    <x v="0"/>
    <x v="0"/>
    <x v="3"/>
    <x v="2"/>
    <x v="0"/>
    <x v="0"/>
    <x v="0"/>
  </r>
  <r>
    <n v="24725"/>
    <x v="0"/>
    <x v="0"/>
    <n v="40000"/>
    <x v="1"/>
    <x v="1"/>
    <s v="Clerical"/>
    <x v="0"/>
    <x v="0"/>
    <x v="3"/>
    <x v="2"/>
    <x v="23"/>
    <x v="0"/>
    <x v="0"/>
  </r>
  <r>
    <n v="23200"/>
    <x v="0"/>
    <x v="0"/>
    <n v="50000"/>
    <x v="1"/>
    <x v="0"/>
    <s v="Skilled Manual"/>
    <x v="0"/>
    <x v="2"/>
    <x v="0"/>
    <x v="2"/>
    <x v="3"/>
    <x v="0"/>
    <x v="0"/>
  </r>
  <r>
    <n v="15895"/>
    <x v="1"/>
    <x v="0"/>
    <n v="60000"/>
    <x v="4"/>
    <x v="0"/>
    <s v="Management"/>
    <x v="0"/>
    <x v="0"/>
    <x v="4"/>
    <x v="2"/>
    <x v="7"/>
    <x v="1"/>
    <x v="0"/>
  </r>
  <r>
    <n v="18577"/>
    <x v="0"/>
    <x v="0"/>
    <n v="60000"/>
    <x v="3"/>
    <x v="4"/>
    <s v="Professional"/>
    <x v="0"/>
    <x v="0"/>
    <x v="0"/>
    <x v="2"/>
    <x v="8"/>
    <x v="0"/>
    <x v="0"/>
  </r>
  <r>
    <n v="27218"/>
    <x v="0"/>
    <x v="0"/>
    <n v="20000"/>
    <x v="4"/>
    <x v="3"/>
    <s v="Clerical"/>
    <x v="1"/>
    <x v="0"/>
    <x v="0"/>
    <x v="2"/>
    <x v="28"/>
    <x v="0"/>
    <x v="0"/>
  </r>
  <r>
    <n v="18560"/>
    <x v="0"/>
    <x v="0"/>
    <n v="70000"/>
    <x v="4"/>
    <x v="4"/>
    <s v="Professional"/>
    <x v="0"/>
    <x v="0"/>
    <x v="1"/>
    <x v="2"/>
    <x v="17"/>
    <x v="0"/>
    <x v="1"/>
  </r>
  <r>
    <n v="25006"/>
    <x v="1"/>
    <x v="0"/>
    <n v="30000"/>
    <x v="3"/>
    <x v="1"/>
    <s v="Skilled Manual"/>
    <x v="0"/>
    <x v="1"/>
    <x v="2"/>
    <x v="2"/>
    <x v="26"/>
    <x v="2"/>
    <x v="0"/>
  </r>
  <r>
    <n v="17369"/>
    <x v="1"/>
    <x v="1"/>
    <n v="30000"/>
    <x v="3"/>
    <x v="1"/>
    <s v="Skilled Manual"/>
    <x v="0"/>
    <x v="1"/>
    <x v="2"/>
    <x v="2"/>
    <x v="40"/>
    <x v="2"/>
    <x v="0"/>
  </r>
  <r>
    <n v="14495"/>
    <x v="0"/>
    <x v="1"/>
    <n v="40000"/>
    <x v="1"/>
    <x v="1"/>
    <s v="Professional"/>
    <x v="1"/>
    <x v="2"/>
    <x v="2"/>
    <x v="2"/>
    <x v="9"/>
    <x v="0"/>
    <x v="1"/>
  </r>
  <r>
    <n v="18847"/>
    <x v="0"/>
    <x v="0"/>
    <n v="60000"/>
    <x v="4"/>
    <x v="4"/>
    <s v="Management"/>
    <x v="0"/>
    <x v="2"/>
    <x v="2"/>
    <x v="2"/>
    <x v="43"/>
    <x v="1"/>
    <x v="0"/>
  </r>
  <r>
    <n v="14754"/>
    <x v="0"/>
    <x v="1"/>
    <n v="40000"/>
    <x v="0"/>
    <x v="1"/>
    <s v="Clerical"/>
    <x v="0"/>
    <x v="1"/>
    <x v="3"/>
    <x v="2"/>
    <x v="28"/>
    <x v="0"/>
    <x v="1"/>
  </r>
  <r>
    <n v="23378"/>
    <x v="0"/>
    <x v="1"/>
    <n v="70000"/>
    <x v="0"/>
    <x v="1"/>
    <s v="Skilled Manual"/>
    <x v="0"/>
    <x v="1"/>
    <x v="1"/>
    <x v="2"/>
    <x v="20"/>
    <x v="0"/>
    <x v="1"/>
  </r>
  <r>
    <n v="26452"/>
    <x v="1"/>
    <x v="1"/>
    <n v="50000"/>
    <x v="1"/>
    <x v="4"/>
    <s v="Management"/>
    <x v="0"/>
    <x v="2"/>
    <x v="4"/>
    <x v="2"/>
    <x v="45"/>
    <x v="1"/>
    <x v="0"/>
  </r>
  <r>
    <n v="20370"/>
    <x v="0"/>
    <x v="1"/>
    <n v="70000"/>
    <x v="1"/>
    <x v="3"/>
    <s v="Skilled Manual"/>
    <x v="0"/>
    <x v="2"/>
    <x v="2"/>
    <x v="2"/>
    <x v="31"/>
    <x v="0"/>
    <x v="0"/>
  </r>
  <r>
    <n v="20528"/>
    <x v="0"/>
    <x v="1"/>
    <n v="40000"/>
    <x v="4"/>
    <x v="3"/>
    <s v="Skilled Manual"/>
    <x v="0"/>
    <x v="2"/>
    <x v="1"/>
    <x v="2"/>
    <x v="10"/>
    <x v="1"/>
    <x v="0"/>
  </r>
  <r>
    <n v="23549"/>
    <x v="1"/>
    <x v="1"/>
    <n v="30000"/>
    <x v="3"/>
    <x v="2"/>
    <s v="Skilled Manual"/>
    <x v="0"/>
    <x v="2"/>
    <x v="2"/>
    <x v="2"/>
    <x v="25"/>
    <x v="2"/>
    <x v="0"/>
  </r>
  <r>
    <n v="21751"/>
    <x v="0"/>
    <x v="1"/>
    <n v="60000"/>
    <x v="1"/>
    <x v="4"/>
    <s v="Management"/>
    <x v="0"/>
    <x v="2"/>
    <x v="3"/>
    <x v="2"/>
    <x v="18"/>
    <x v="1"/>
    <x v="0"/>
  </r>
  <r>
    <n v="21266"/>
    <x v="1"/>
    <x v="0"/>
    <n v="80000"/>
    <x v="3"/>
    <x v="0"/>
    <s v="Management"/>
    <x v="0"/>
    <x v="1"/>
    <x v="3"/>
    <x v="2"/>
    <x v="17"/>
    <x v="0"/>
    <x v="1"/>
  </r>
  <r>
    <n v="13388"/>
    <x v="1"/>
    <x v="1"/>
    <n v="60000"/>
    <x v="4"/>
    <x v="1"/>
    <s v="Professional"/>
    <x v="0"/>
    <x v="1"/>
    <x v="4"/>
    <x v="2"/>
    <x v="16"/>
    <x v="1"/>
    <x v="0"/>
  </r>
  <r>
    <n v="18752"/>
    <x v="1"/>
    <x v="0"/>
    <n v="40000"/>
    <x v="3"/>
    <x v="2"/>
    <s v="Skilled Manual"/>
    <x v="0"/>
    <x v="1"/>
    <x v="2"/>
    <x v="2"/>
    <x v="23"/>
    <x v="0"/>
    <x v="0"/>
  </r>
  <r>
    <n v="16917"/>
    <x v="0"/>
    <x v="1"/>
    <n v="120000"/>
    <x v="0"/>
    <x v="0"/>
    <s v="Management"/>
    <x v="0"/>
    <x v="3"/>
    <x v="0"/>
    <x v="2"/>
    <x v="13"/>
    <x v="0"/>
    <x v="0"/>
  </r>
  <r>
    <n v="15313"/>
    <x v="0"/>
    <x v="1"/>
    <n v="60000"/>
    <x v="5"/>
    <x v="0"/>
    <s v="Management"/>
    <x v="0"/>
    <x v="2"/>
    <x v="1"/>
    <x v="2"/>
    <x v="14"/>
    <x v="1"/>
    <x v="0"/>
  </r>
  <r>
    <n v="25329"/>
    <x v="1"/>
    <x v="0"/>
    <n v="40000"/>
    <x v="1"/>
    <x v="1"/>
    <s v="Clerical"/>
    <x v="1"/>
    <x v="2"/>
    <x v="0"/>
    <x v="2"/>
    <x v="21"/>
    <x v="0"/>
    <x v="0"/>
  </r>
  <r>
    <n v="20380"/>
    <x v="0"/>
    <x v="0"/>
    <n v="60000"/>
    <x v="1"/>
    <x v="4"/>
    <s v="Management"/>
    <x v="0"/>
    <x v="2"/>
    <x v="4"/>
    <x v="2"/>
    <x v="45"/>
    <x v="1"/>
    <x v="0"/>
  </r>
  <r>
    <n v="23089"/>
    <x v="0"/>
    <x v="1"/>
    <n v="40000"/>
    <x v="3"/>
    <x v="1"/>
    <s v="Skilled Manual"/>
    <x v="0"/>
    <x v="1"/>
    <x v="2"/>
    <x v="2"/>
    <x v="26"/>
    <x v="2"/>
    <x v="0"/>
  </r>
  <r>
    <n v="13749"/>
    <x v="0"/>
    <x v="1"/>
    <n v="80000"/>
    <x v="5"/>
    <x v="4"/>
    <s v="Skilled Manual"/>
    <x v="0"/>
    <x v="0"/>
    <x v="3"/>
    <x v="2"/>
    <x v="15"/>
    <x v="0"/>
    <x v="0"/>
  </r>
  <r>
    <n v="24943"/>
    <x v="0"/>
    <x v="1"/>
    <n v="60000"/>
    <x v="1"/>
    <x v="0"/>
    <s v="Management"/>
    <x v="0"/>
    <x v="2"/>
    <x v="4"/>
    <x v="2"/>
    <x v="29"/>
    <x v="1"/>
    <x v="0"/>
  </r>
  <r>
    <n v="28667"/>
    <x v="1"/>
    <x v="1"/>
    <n v="70000"/>
    <x v="4"/>
    <x v="0"/>
    <s v="Skilled Manual"/>
    <x v="1"/>
    <x v="1"/>
    <x v="0"/>
    <x v="2"/>
    <x v="34"/>
    <x v="0"/>
    <x v="1"/>
  </r>
  <r>
    <n v="15194"/>
    <x v="1"/>
    <x v="1"/>
    <n v="120000"/>
    <x v="4"/>
    <x v="0"/>
    <s v="Management"/>
    <x v="1"/>
    <x v="4"/>
    <x v="0"/>
    <x v="2"/>
    <x v="32"/>
    <x v="0"/>
    <x v="1"/>
  </r>
  <r>
    <n v="17436"/>
    <x v="0"/>
    <x v="1"/>
    <n v="60000"/>
    <x v="4"/>
    <x v="2"/>
    <s v="Professional"/>
    <x v="1"/>
    <x v="2"/>
    <x v="3"/>
    <x v="2"/>
    <x v="36"/>
    <x v="0"/>
    <x v="0"/>
  </r>
  <r>
    <n v="18935"/>
    <x v="0"/>
    <x v="0"/>
    <n v="130000"/>
    <x v="3"/>
    <x v="4"/>
    <s v="Management"/>
    <x v="0"/>
    <x v="4"/>
    <x v="3"/>
    <x v="2"/>
    <x v="8"/>
    <x v="0"/>
    <x v="0"/>
  </r>
  <r>
    <n v="16871"/>
    <x v="0"/>
    <x v="0"/>
    <n v="90000"/>
    <x v="4"/>
    <x v="2"/>
    <s v="Professional"/>
    <x v="0"/>
    <x v="1"/>
    <x v="4"/>
    <x v="2"/>
    <x v="36"/>
    <x v="0"/>
    <x v="1"/>
  </r>
  <r>
    <n v="12100"/>
    <x v="1"/>
    <x v="1"/>
    <n v="60000"/>
    <x v="4"/>
    <x v="0"/>
    <s v="Management"/>
    <x v="0"/>
    <x v="0"/>
    <x v="4"/>
    <x v="2"/>
    <x v="42"/>
    <x v="1"/>
    <x v="0"/>
  </r>
  <r>
    <n v="23158"/>
    <x v="0"/>
    <x v="0"/>
    <n v="60000"/>
    <x v="0"/>
    <x v="4"/>
    <s v="Professional"/>
    <x v="1"/>
    <x v="0"/>
    <x v="0"/>
    <x v="2"/>
    <x v="11"/>
    <x v="0"/>
    <x v="1"/>
  </r>
  <r>
    <n v="18545"/>
    <x v="0"/>
    <x v="1"/>
    <n v="40000"/>
    <x v="5"/>
    <x v="2"/>
    <s v="Professional"/>
    <x v="1"/>
    <x v="2"/>
    <x v="4"/>
    <x v="2"/>
    <x v="33"/>
    <x v="1"/>
    <x v="1"/>
  </r>
  <r>
    <n v="18391"/>
    <x v="1"/>
    <x v="0"/>
    <n v="80000"/>
    <x v="2"/>
    <x v="1"/>
    <s v="Professional"/>
    <x v="0"/>
    <x v="2"/>
    <x v="2"/>
    <x v="2"/>
    <x v="20"/>
    <x v="0"/>
    <x v="0"/>
  </r>
  <r>
    <n v="19812"/>
    <x v="1"/>
    <x v="0"/>
    <n v="70000"/>
    <x v="4"/>
    <x v="1"/>
    <s v="Professional"/>
    <x v="0"/>
    <x v="0"/>
    <x v="2"/>
    <x v="2"/>
    <x v="38"/>
    <x v="0"/>
    <x v="1"/>
  </r>
  <r>
    <n v="27660"/>
    <x v="0"/>
    <x v="1"/>
    <n v="80000"/>
    <x v="5"/>
    <x v="4"/>
    <s v="Management"/>
    <x v="0"/>
    <x v="2"/>
    <x v="2"/>
    <x v="2"/>
    <x v="43"/>
    <x v="1"/>
    <x v="0"/>
  </r>
  <r>
    <n v="18058"/>
    <x v="1"/>
    <x v="0"/>
    <n v="20000"/>
    <x v="1"/>
    <x v="2"/>
    <s v="Skilled Manual"/>
    <x v="0"/>
    <x v="2"/>
    <x v="1"/>
    <x v="2"/>
    <x v="44"/>
    <x v="1"/>
    <x v="0"/>
  </r>
  <r>
    <n v="20343"/>
    <x v="0"/>
    <x v="0"/>
    <n v="90000"/>
    <x v="5"/>
    <x v="1"/>
    <s v="Professional"/>
    <x v="0"/>
    <x v="1"/>
    <x v="3"/>
    <x v="2"/>
    <x v="12"/>
    <x v="0"/>
    <x v="0"/>
  </r>
  <r>
    <n v="28997"/>
    <x v="1"/>
    <x v="1"/>
    <n v="40000"/>
    <x v="4"/>
    <x v="2"/>
    <s v="Professional"/>
    <x v="1"/>
    <x v="1"/>
    <x v="1"/>
    <x v="2"/>
    <x v="7"/>
    <x v="1"/>
    <x v="1"/>
  </r>
  <r>
    <n v="24398"/>
    <x v="0"/>
    <x v="1"/>
    <n v="130000"/>
    <x v="0"/>
    <x v="4"/>
    <s v="Management"/>
    <x v="0"/>
    <x v="3"/>
    <x v="0"/>
    <x v="2"/>
    <x v="3"/>
    <x v="0"/>
    <x v="0"/>
  </r>
  <r>
    <n v="19002"/>
    <x v="0"/>
    <x v="0"/>
    <n v="60000"/>
    <x v="4"/>
    <x v="1"/>
    <s v="Professional"/>
    <x v="0"/>
    <x v="1"/>
    <x v="1"/>
    <x v="2"/>
    <x v="42"/>
    <x v="1"/>
    <x v="1"/>
  </r>
  <r>
    <n v="28609"/>
    <x v="0"/>
    <x v="1"/>
    <n v="30000"/>
    <x v="4"/>
    <x v="2"/>
    <s v="Skilled Manual"/>
    <x v="1"/>
    <x v="2"/>
    <x v="0"/>
    <x v="2"/>
    <x v="38"/>
    <x v="0"/>
    <x v="0"/>
  </r>
  <r>
    <n v="29231"/>
    <x v="1"/>
    <x v="1"/>
    <n v="80000"/>
    <x v="5"/>
    <x v="1"/>
    <s v="Professional"/>
    <x v="1"/>
    <x v="2"/>
    <x v="0"/>
    <x v="2"/>
    <x v="1"/>
    <x v="0"/>
    <x v="0"/>
  </r>
  <r>
    <n v="18858"/>
    <x v="1"/>
    <x v="1"/>
    <n v="60000"/>
    <x v="4"/>
    <x v="3"/>
    <s v="Skilled Manual"/>
    <x v="0"/>
    <x v="2"/>
    <x v="2"/>
    <x v="2"/>
    <x v="31"/>
    <x v="0"/>
    <x v="1"/>
  </r>
  <r>
    <n v="20000"/>
    <x v="0"/>
    <x v="1"/>
    <n v="60000"/>
    <x v="0"/>
    <x v="4"/>
    <s v="Professional"/>
    <x v="0"/>
    <x v="0"/>
    <x v="0"/>
    <x v="2"/>
    <x v="11"/>
    <x v="0"/>
    <x v="1"/>
  </r>
  <r>
    <n v="25261"/>
    <x v="0"/>
    <x v="1"/>
    <n v="40000"/>
    <x v="3"/>
    <x v="2"/>
    <s v="Skilled Manual"/>
    <x v="0"/>
    <x v="2"/>
    <x v="2"/>
    <x v="2"/>
    <x v="40"/>
    <x v="2"/>
    <x v="0"/>
  </r>
  <r>
    <n v="17458"/>
    <x v="1"/>
    <x v="1"/>
    <n v="70000"/>
    <x v="1"/>
    <x v="2"/>
    <s v="Professional"/>
    <x v="0"/>
    <x v="0"/>
    <x v="2"/>
    <x v="2"/>
    <x v="31"/>
    <x v="0"/>
    <x v="1"/>
  </r>
  <r>
    <n v="11644"/>
    <x v="1"/>
    <x v="1"/>
    <n v="40000"/>
    <x v="4"/>
    <x v="0"/>
    <s v="Skilled Manual"/>
    <x v="0"/>
    <x v="0"/>
    <x v="1"/>
    <x v="2"/>
    <x v="4"/>
    <x v="0"/>
    <x v="0"/>
  </r>
  <r>
    <n v="16145"/>
    <x v="1"/>
    <x v="0"/>
    <n v="70000"/>
    <x v="2"/>
    <x v="4"/>
    <s v="Professional"/>
    <x v="0"/>
    <x v="4"/>
    <x v="4"/>
    <x v="2"/>
    <x v="30"/>
    <x v="0"/>
    <x v="1"/>
  </r>
  <r>
    <n v="16890"/>
    <x v="0"/>
    <x v="1"/>
    <n v="60000"/>
    <x v="1"/>
    <x v="3"/>
    <s v="Skilled Manual"/>
    <x v="0"/>
    <x v="2"/>
    <x v="2"/>
    <x v="2"/>
    <x v="31"/>
    <x v="0"/>
    <x v="1"/>
  </r>
  <r>
    <n v="25983"/>
    <x v="0"/>
    <x v="1"/>
    <n v="70000"/>
    <x v="3"/>
    <x v="0"/>
    <s v="Professional"/>
    <x v="1"/>
    <x v="1"/>
    <x v="0"/>
    <x v="2"/>
    <x v="1"/>
    <x v="0"/>
    <x v="0"/>
  </r>
  <r>
    <n v="14633"/>
    <x v="0"/>
    <x v="1"/>
    <n v="60000"/>
    <x v="0"/>
    <x v="1"/>
    <s v="Skilled Manual"/>
    <x v="0"/>
    <x v="1"/>
    <x v="1"/>
    <x v="2"/>
    <x v="20"/>
    <x v="0"/>
    <x v="0"/>
  </r>
  <r>
    <n v="22994"/>
    <x v="0"/>
    <x v="0"/>
    <n v="80000"/>
    <x v="3"/>
    <x v="0"/>
    <s v="Management"/>
    <x v="0"/>
    <x v="1"/>
    <x v="3"/>
    <x v="2"/>
    <x v="17"/>
    <x v="0"/>
    <x v="1"/>
  </r>
  <r>
    <n v="22983"/>
    <x v="1"/>
    <x v="0"/>
    <n v="30000"/>
    <x v="3"/>
    <x v="3"/>
    <s v="Clerical"/>
    <x v="0"/>
    <x v="2"/>
    <x v="2"/>
    <x v="2"/>
    <x v="40"/>
    <x v="2"/>
    <x v="0"/>
  </r>
  <r>
    <n v="25184"/>
    <x v="1"/>
    <x v="1"/>
    <n v="110000"/>
    <x v="0"/>
    <x v="1"/>
    <s v="Professional"/>
    <x v="0"/>
    <x v="3"/>
    <x v="2"/>
    <x v="2"/>
    <x v="12"/>
    <x v="0"/>
    <x v="1"/>
  </r>
  <r>
    <n v="14469"/>
    <x v="0"/>
    <x v="0"/>
    <n v="100000"/>
    <x v="1"/>
    <x v="1"/>
    <s v="Professional"/>
    <x v="0"/>
    <x v="3"/>
    <x v="3"/>
    <x v="2"/>
    <x v="12"/>
    <x v="0"/>
    <x v="0"/>
  </r>
  <r>
    <n v="11538"/>
    <x v="1"/>
    <x v="0"/>
    <n v="60000"/>
    <x v="5"/>
    <x v="4"/>
    <s v="Skilled Manual"/>
    <x v="1"/>
    <x v="0"/>
    <x v="0"/>
    <x v="2"/>
    <x v="15"/>
    <x v="0"/>
    <x v="1"/>
  </r>
  <r>
    <n v="16245"/>
    <x v="1"/>
    <x v="0"/>
    <n v="80000"/>
    <x v="5"/>
    <x v="4"/>
    <s v="Skilled Manual"/>
    <x v="0"/>
    <x v="0"/>
    <x v="3"/>
    <x v="2"/>
    <x v="15"/>
    <x v="0"/>
    <x v="0"/>
  </r>
  <r>
    <n v="17858"/>
    <x v="0"/>
    <x v="1"/>
    <n v="40000"/>
    <x v="5"/>
    <x v="2"/>
    <s v="Skilled Manual"/>
    <x v="0"/>
    <x v="2"/>
    <x v="1"/>
    <x v="2"/>
    <x v="20"/>
    <x v="0"/>
    <x v="1"/>
  </r>
  <r>
    <n v="25347"/>
    <x v="1"/>
    <x v="0"/>
    <n v="20000"/>
    <x v="1"/>
    <x v="3"/>
    <s v="Clerical"/>
    <x v="1"/>
    <x v="2"/>
    <x v="0"/>
    <x v="2"/>
    <x v="38"/>
    <x v="0"/>
    <x v="0"/>
  </r>
  <r>
    <n v="15814"/>
    <x v="1"/>
    <x v="0"/>
    <n v="40000"/>
    <x v="3"/>
    <x v="2"/>
    <s v="Skilled Manual"/>
    <x v="0"/>
    <x v="1"/>
    <x v="2"/>
    <x v="2"/>
    <x v="25"/>
    <x v="2"/>
    <x v="0"/>
  </r>
  <r>
    <n v="11259"/>
    <x v="0"/>
    <x v="0"/>
    <n v="100000"/>
    <x v="5"/>
    <x v="1"/>
    <s v="Professional"/>
    <x v="0"/>
    <x v="3"/>
    <x v="1"/>
    <x v="2"/>
    <x v="3"/>
    <x v="0"/>
    <x v="1"/>
  </r>
  <r>
    <n v="11200"/>
    <x v="0"/>
    <x v="1"/>
    <n v="70000"/>
    <x v="5"/>
    <x v="0"/>
    <s v="Management"/>
    <x v="0"/>
    <x v="1"/>
    <x v="3"/>
    <x v="2"/>
    <x v="7"/>
    <x v="1"/>
    <x v="0"/>
  </r>
  <r>
    <n v="25101"/>
    <x v="0"/>
    <x v="1"/>
    <n v="60000"/>
    <x v="2"/>
    <x v="0"/>
    <s v="Professional"/>
    <x v="0"/>
    <x v="1"/>
    <x v="1"/>
    <x v="2"/>
    <x v="15"/>
    <x v="0"/>
    <x v="0"/>
  </r>
  <r>
    <n v="21801"/>
    <x v="0"/>
    <x v="0"/>
    <n v="70000"/>
    <x v="5"/>
    <x v="1"/>
    <s v="Professional"/>
    <x v="0"/>
    <x v="1"/>
    <x v="3"/>
    <x v="2"/>
    <x v="10"/>
    <x v="1"/>
    <x v="0"/>
  </r>
  <r>
    <n v="25943"/>
    <x v="1"/>
    <x v="0"/>
    <n v="70000"/>
    <x v="3"/>
    <x v="1"/>
    <s v="Skilled Manual"/>
    <x v="1"/>
    <x v="2"/>
    <x v="0"/>
    <x v="2"/>
    <x v="40"/>
    <x v="2"/>
    <x v="1"/>
  </r>
  <r>
    <n v="22127"/>
    <x v="0"/>
    <x v="1"/>
    <n v="60000"/>
    <x v="1"/>
    <x v="4"/>
    <s v="Management"/>
    <x v="0"/>
    <x v="2"/>
    <x v="3"/>
    <x v="2"/>
    <x v="41"/>
    <x v="1"/>
    <x v="0"/>
  </r>
  <r>
    <n v="20414"/>
    <x v="0"/>
    <x v="0"/>
    <n v="60000"/>
    <x v="3"/>
    <x v="1"/>
    <s v="Skilled Manual"/>
    <x v="0"/>
    <x v="2"/>
    <x v="2"/>
    <x v="2"/>
    <x v="19"/>
    <x v="2"/>
    <x v="0"/>
  </r>
  <r>
    <n v="23672"/>
    <x v="0"/>
    <x v="0"/>
    <n v="60000"/>
    <x v="1"/>
    <x v="4"/>
    <s v="Management"/>
    <x v="0"/>
    <x v="2"/>
    <x v="3"/>
    <x v="2"/>
    <x v="41"/>
    <x v="1"/>
    <x v="0"/>
  </r>
  <r>
    <n v="29255"/>
    <x v="1"/>
    <x v="1"/>
    <n v="80000"/>
    <x v="1"/>
    <x v="1"/>
    <s v="Professional"/>
    <x v="1"/>
    <x v="1"/>
    <x v="3"/>
    <x v="2"/>
    <x v="36"/>
    <x v="0"/>
    <x v="1"/>
  </r>
  <r>
    <n v="28815"/>
    <x v="0"/>
    <x v="0"/>
    <n v="50000"/>
    <x v="0"/>
    <x v="4"/>
    <s v="Skilled Manual"/>
    <x v="0"/>
    <x v="0"/>
    <x v="0"/>
    <x v="2"/>
    <x v="11"/>
    <x v="0"/>
    <x v="0"/>
  </r>
  <r>
    <n v="27753"/>
    <x v="0"/>
    <x v="1"/>
    <n v="40000"/>
    <x v="3"/>
    <x v="2"/>
    <s v="Skilled Manual"/>
    <x v="1"/>
    <x v="2"/>
    <x v="3"/>
    <x v="2"/>
    <x v="25"/>
    <x v="2"/>
    <x v="0"/>
  </r>
  <r>
    <n v="27643"/>
    <x v="1"/>
    <x v="1"/>
    <n v="70000"/>
    <x v="2"/>
    <x v="1"/>
    <s v="Professional"/>
    <x v="0"/>
    <x v="4"/>
    <x v="1"/>
    <x v="2"/>
    <x v="20"/>
    <x v="0"/>
    <x v="0"/>
  </r>
  <r>
    <n v="13754"/>
    <x v="1"/>
    <x v="0"/>
    <n v="80000"/>
    <x v="5"/>
    <x v="4"/>
    <s v="Skilled Manual"/>
    <x v="0"/>
    <x v="0"/>
    <x v="3"/>
    <x v="2"/>
    <x v="28"/>
    <x v="0"/>
    <x v="0"/>
  </r>
  <r>
    <n v="22088"/>
    <x v="0"/>
    <x v="0"/>
    <n v="130000"/>
    <x v="0"/>
    <x v="0"/>
    <s v="Management"/>
    <x v="0"/>
    <x v="2"/>
    <x v="0"/>
    <x v="2"/>
    <x v="12"/>
    <x v="0"/>
    <x v="1"/>
  </r>
  <r>
    <n v="27388"/>
    <x v="0"/>
    <x v="1"/>
    <n v="60000"/>
    <x v="1"/>
    <x v="0"/>
    <s v="Management"/>
    <x v="1"/>
    <x v="2"/>
    <x v="3"/>
    <x v="2"/>
    <x v="29"/>
    <x v="1"/>
    <x v="0"/>
  </r>
  <r>
    <n v="24745"/>
    <x v="1"/>
    <x v="0"/>
    <n v="30000"/>
    <x v="4"/>
    <x v="2"/>
    <s v="Skilled Manual"/>
    <x v="1"/>
    <x v="2"/>
    <x v="0"/>
    <x v="2"/>
    <x v="38"/>
    <x v="0"/>
    <x v="0"/>
  </r>
  <r>
    <n v="29237"/>
    <x v="1"/>
    <x v="0"/>
    <n v="120000"/>
    <x v="5"/>
    <x v="1"/>
    <s v="Professional"/>
    <x v="0"/>
    <x v="4"/>
    <x v="2"/>
    <x v="2"/>
    <x v="1"/>
    <x v="0"/>
    <x v="1"/>
  </r>
  <r>
    <n v="15272"/>
    <x v="1"/>
    <x v="1"/>
    <n v="40000"/>
    <x v="3"/>
    <x v="2"/>
    <s v="Skilled Manual"/>
    <x v="1"/>
    <x v="2"/>
    <x v="3"/>
    <x v="2"/>
    <x v="25"/>
    <x v="2"/>
    <x v="0"/>
  </r>
  <r>
    <n v="18949"/>
    <x v="1"/>
    <x v="1"/>
    <n v="70000"/>
    <x v="3"/>
    <x v="4"/>
    <s v="Management"/>
    <x v="0"/>
    <x v="2"/>
    <x v="2"/>
    <x v="2"/>
    <x v="50"/>
    <x v="1"/>
    <x v="1"/>
  </r>
  <r>
    <n v="14507"/>
    <x v="0"/>
    <x v="1"/>
    <n v="100000"/>
    <x v="4"/>
    <x v="4"/>
    <s v="Management"/>
    <x v="0"/>
    <x v="4"/>
    <x v="3"/>
    <x v="2"/>
    <x v="27"/>
    <x v="1"/>
    <x v="0"/>
  </r>
  <r>
    <n v="25886"/>
    <x v="0"/>
    <x v="0"/>
    <n v="60000"/>
    <x v="4"/>
    <x v="1"/>
    <s v="Professional"/>
    <x v="0"/>
    <x v="2"/>
    <x v="1"/>
    <x v="2"/>
    <x v="16"/>
    <x v="1"/>
    <x v="1"/>
  </r>
  <r>
    <n v="21441"/>
    <x v="0"/>
    <x v="1"/>
    <n v="50000"/>
    <x v="5"/>
    <x v="0"/>
    <s v="Management"/>
    <x v="0"/>
    <x v="2"/>
    <x v="4"/>
    <x v="2"/>
    <x v="46"/>
    <x v="1"/>
    <x v="0"/>
  </r>
  <r>
    <n v="21741"/>
    <x v="0"/>
    <x v="0"/>
    <n v="70000"/>
    <x v="1"/>
    <x v="1"/>
    <s v="Professional"/>
    <x v="0"/>
    <x v="2"/>
    <x v="2"/>
    <x v="2"/>
    <x v="5"/>
    <x v="0"/>
    <x v="1"/>
  </r>
  <r>
    <n v="14572"/>
    <x v="0"/>
    <x v="0"/>
    <n v="70000"/>
    <x v="1"/>
    <x v="4"/>
    <s v="Professional"/>
    <x v="0"/>
    <x v="0"/>
    <x v="1"/>
    <x v="2"/>
    <x v="11"/>
    <x v="0"/>
    <x v="1"/>
  </r>
  <r>
    <n v="23368"/>
    <x v="0"/>
    <x v="0"/>
    <n v="60000"/>
    <x v="2"/>
    <x v="0"/>
    <s v="Skilled Manual"/>
    <x v="0"/>
    <x v="4"/>
    <x v="4"/>
    <x v="2"/>
    <x v="3"/>
    <x v="0"/>
    <x v="0"/>
  </r>
  <r>
    <n v="16217"/>
    <x v="1"/>
    <x v="0"/>
    <n v="60000"/>
    <x v="3"/>
    <x v="4"/>
    <s v="Skilled Manual"/>
    <x v="0"/>
    <x v="0"/>
    <x v="0"/>
    <x v="2"/>
    <x v="32"/>
    <x v="0"/>
    <x v="0"/>
  </r>
  <r>
    <n v="16247"/>
    <x v="1"/>
    <x v="0"/>
    <n v="60000"/>
    <x v="5"/>
    <x v="4"/>
    <s v="Skilled Manual"/>
    <x v="1"/>
    <x v="0"/>
    <x v="3"/>
    <x v="2"/>
    <x v="15"/>
    <x v="0"/>
    <x v="0"/>
  </r>
  <r>
    <n v="22010"/>
    <x v="1"/>
    <x v="1"/>
    <n v="40000"/>
    <x v="3"/>
    <x v="2"/>
    <s v="Skilled Manual"/>
    <x v="0"/>
    <x v="2"/>
    <x v="2"/>
    <x v="2"/>
    <x v="23"/>
    <x v="0"/>
    <x v="0"/>
  </r>
  <r>
    <n v="25872"/>
    <x v="1"/>
    <x v="0"/>
    <n v="70000"/>
    <x v="4"/>
    <x v="0"/>
    <s v="Management"/>
    <x v="1"/>
    <x v="1"/>
    <x v="1"/>
    <x v="2"/>
    <x v="7"/>
    <x v="1"/>
    <x v="1"/>
  </r>
  <r>
    <n v="19164"/>
    <x v="1"/>
    <x v="0"/>
    <n v="70000"/>
    <x v="3"/>
    <x v="0"/>
    <s v="Professional"/>
    <x v="1"/>
    <x v="1"/>
    <x v="1"/>
    <x v="2"/>
    <x v="13"/>
    <x v="0"/>
    <x v="1"/>
  </r>
  <r>
    <n v="18435"/>
    <x v="1"/>
    <x v="0"/>
    <n v="70000"/>
    <x v="2"/>
    <x v="4"/>
    <s v="Management"/>
    <x v="0"/>
    <x v="2"/>
    <x v="4"/>
    <x v="2"/>
    <x v="41"/>
    <x v="1"/>
    <x v="1"/>
  </r>
  <r>
    <n v="14284"/>
    <x v="1"/>
    <x v="1"/>
    <n v="60000"/>
    <x v="3"/>
    <x v="1"/>
    <s v="Professional"/>
    <x v="1"/>
    <x v="2"/>
    <x v="3"/>
    <x v="2"/>
    <x v="21"/>
    <x v="0"/>
    <x v="1"/>
  </r>
  <r>
    <n v="11287"/>
    <x v="0"/>
    <x v="1"/>
    <n v="70000"/>
    <x v="2"/>
    <x v="1"/>
    <s v="Professional"/>
    <x v="1"/>
    <x v="4"/>
    <x v="2"/>
    <x v="2"/>
    <x v="12"/>
    <x v="0"/>
    <x v="0"/>
  </r>
  <r>
    <n v="13066"/>
    <x v="1"/>
    <x v="1"/>
    <n v="30000"/>
    <x v="3"/>
    <x v="2"/>
    <s v="Skilled Manual"/>
    <x v="1"/>
    <x v="2"/>
    <x v="3"/>
    <x v="2"/>
    <x v="23"/>
    <x v="0"/>
    <x v="1"/>
  </r>
  <r>
    <n v="29106"/>
    <x v="1"/>
    <x v="1"/>
    <n v="40000"/>
    <x v="3"/>
    <x v="2"/>
    <s v="Skilled Manual"/>
    <x v="1"/>
    <x v="2"/>
    <x v="3"/>
    <x v="2"/>
    <x v="23"/>
    <x v="0"/>
    <x v="1"/>
  </r>
  <r>
    <n v="26236"/>
    <x v="0"/>
    <x v="0"/>
    <n v="40000"/>
    <x v="1"/>
    <x v="1"/>
    <s v="Clerical"/>
    <x v="0"/>
    <x v="1"/>
    <x v="0"/>
    <x v="2"/>
    <x v="23"/>
    <x v="0"/>
    <x v="0"/>
  </r>
  <r>
    <n v="17531"/>
    <x v="0"/>
    <x v="1"/>
    <n v="60000"/>
    <x v="4"/>
    <x v="2"/>
    <s v="Professional"/>
    <x v="1"/>
    <x v="2"/>
    <x v="2"/>
    <x v="2"/>
    <x v="5"/>
    <x v="0"/>
    <x v="0"/>
  </r>
  <r>
    <n v="12964"/>
    <x v="0"/>
    <x v="1"/>
    <n v="70000"/>
    <x v="0"/>
    <x v="1"/>
    <s v="Skilled Manual"/>
    <x v="0"/>
    <x v="1"/>
    <x v="0"/>
    <x v="2"/>
    <x v="20"/>
    <x v="0"/>
    <x v="0"/>
  </r>
  <r>
    <n v="19133"/>
    <x v="1"/>
    <x v="1"/>
    <n v="50000"/>
    <x v="4"/>
    <x v="0"/>
    <s v="Skilled Manual"/>
    <x v="0"/>
    <x v="1"/>
    <x v="1"/>
    <x v="2"/>
    <x v="13"/>
    <x v="0"/>
    <x v="1"/>
  </r>
  <r>
    <n v="24643"/>
    <x v="1"/>
    <x v="0"/>
    <n v="60000"/>
    <x v="5"/>
    <x v="0"/>
    <s v="Management"/>
    <x v="0"/>
    <x v="2"/>
    <x v="4"/>
    <x v="2"/>
    <x v="18"/>
    <x v="1"/>
    <x v="0"/>
  </r>
  <r>
    <n v="21599"/>
    <x v="0"/>
    <x v="0"/>
    <n v="60000"/>
    <x v="0"/>
    <x v="4"/>
    <s v="Professional"/>
    <x v="0"/>
    <x v="0"/>
    <x v="1"/>
    <x v="2"/>
    <x v="4"/>
    <x v="0"/>
    <x v="1"/>
  </r>
  <r>
    <n v="22976"/>
    <x v="1"/>
    <x v="1"/>
    <n v="40000"/>
    <x v="3"/>
    <x v="2"/>
    <s v="Skilled Manual"/>
    <x v="1"/>
    <x v="2"/>
    <x v="0"/>
    <x v="2"/>
    <x v="26"/>
    <x v="2"/>
    <x v="1"/>
  </r>
  <r>
    <n v="27637"/>
    <x v="1"/>
    <x v="0"/>
    <n v="100000"/>
    <x v="0"/>
    <x v="1"/>
    <s v="Professional"/>
    <x v="1"/>
    <x v="4"/>
    <x v="3"/>
    <x v="2"/>
    <x v="20"/>
    <x v="0"/>
    <x v="0"/>
  </r>
  <r>
    <n v="11890"/>
    <x v="0"/>
    <x v="0"/>
    <n v="70000"/>
    <x v="2"/>
    <x v="4"/>
    <s v="Professional"/>
    <x v="0"/>
    <x v="1"/>
    <x v="0"/>
    <x v="2"/>
    <x v="15"/>
    <x v="0"/>
    <x v="0"/>
  </r>
  <r>
    <n v="28580"/>
    <x v="0"/>
    <x v="0"/>
    <n v="80000"/>
    <x v="3"/>
    <x v="4"/>
    <s v="Skilled Manual"/>
    <x v="0"/>
    <x v="0"/>
    <x v="3"/>
    <x v="2"/>
    <x v="8"/>
    <x v="0"/>
    <x v="1"/>
  </r>
  <r>
    <n v="14443"/>
    <x v="0"/>
    <x v="1"/>
    <n v="130000"/>
    <x v="0"/>
    <x v="4"/>
    <s v="Management"/>
    <x v="0"/>
    <x v="3"/>
    <x v="0"/>
    <x v="2"/>
    <x v="8"/>
    <x v="0"/>
    <x v="0"/>
  </r>
  <r>
    <n v="17864"/>
    <x v="0"/>
    <x v="0"/>
    <n v="60000"/>
    <x v="0"/>
    <x v="1"/>
    <s v="Skilled Manual"/>
    <x v="0"/>
    <x v="1"/>
    <x v="1"/>
    <x v="2"/>
    <x v="30"/>
    <x v="0"/>
    <x v="1"/>
  </r>
  <r>
    <n v="20505"/>
    <x v="0"/>
    <x v="0"/>
    <n v="40000"/>
    <x v="2"/>
    <x v="2"/>
    <s v="Professional"/>
    <x v="1"/>
    <x v="2"/>
    <x v="4"/>
    <x v="2"/>
    <x v="33"/>
    <x v="1"/>
    <x v="0"/>
  </r>
  <r>
    <n v="14592"/>
    <x v="0"/>
    <x v="0"/>
    <n v="60000"/>
    <x v="3"/>
    <x v="4"/>
    <s v="Professional"/>
    <x v="0"/>
    <x v="0"/>
    <x v="0"/>
    <x v="2"/>
    <x v="8"/>
    <x v="0"/>
    <x v="0"/>
  </r>
  <r>
    <n v="22227"/>
    <x v="0"/>
    <x v="0"/>
    <n v="60000"/>
    <x v="4"/>
    <x v="2"/>
    <s v="Professional"/>
    <x v="0"/>
    <x v="2"/>
    <x v="2"/>
    <x v="2"/>
    <x v="5"/>
    <x v="0"/>
    <x v="0"/>
  </r>
  <r>
    <n v="21471"/>
    <x v="0"/>
    <x v="1"/>
    <n v="70000"/>
    <x v="4"/>
    <x v="1"/>
    <s v="Professional"/>
    <x v="0"/>
    <x v="1"/>
    <x v="4"/>
    <x v="2"/>
    <x v="14"/>
    <x v="1"/>
    <x v="0"/>
  </r>
  <r>
    <n v="22252"/>
    <x v="1"/>
    <x v="0"/>
    <n v="60000"/>
    <x v="0"/>
    <x v="4"/>
    <s v="Professional"/>
    <x v="0"/>
    <x v="0"/>
    <x v="1"/>
    <x v="2"/>
    <x v="4"/>
    <x v="0"/>
    <x v="1"/>
  </r>
  <r>
    <n v="21260"/>
    <x v="1"/>
    <x v="0"/>
    <n v="40000"/>
    <x v="3"/>
    <x v="2"/>
    <s v="Skilled Manual"/>
    <x v="0"/>
    <x v="2"/>
    <x v="2"/>
    <x v="2"/>
    <x v="25"/>
    <x v="2"/>
    <x v="0"/>
  </r>
  <r>
    <n v="11817"/>
    <x v="1"/>
    <x v="0"/>
    <n v="70000"/>
    <x v="5"/>
    <x v="4"/>
    <s v="Professional"/>
    <x v="0"/>
    <x v="0"/>
    <x v="1"/>
    <x v="2"/>
    <x v="11"/>
    <x v="0"/>
    <x v="1"/>
  </r>
  <r>
    <n v="19223"/>
    <x v="0"/>
    <x v="0"/>
    <n v="30000"/>
    <x v="4"/>
    <x v="2"/>
    <s v="Skilled Manual"/>
    <x v="0"/>
    <x v="2"/>
    <x v="3"/>
    <x v="2"/>
    <x v="28"/>
    <x v="0"/>
    <x v="0"/>
  </r>
  <r>
    <n v="18517"/>
    <x v="0"/>
    <x v="1"/>
    <n v="100000"/>
    <x v="1"/>
    <x v="0"/>
    <s v="Management"/>
    <x v="0"/>
    <x v="3"/>
    <x v="0"/>
    <x v="2"/>
    <x v="3"/>
    <x v="0"/>
    <x v="0"/>
  </r>
  <r>
    <n v="21717"/>
    <x v="0"/>
    <x v="1"/>
    <n v="40000"/>
    <x v="4"/>
    <x v="1"/>
    <s v="Clerical"/>
    <x v="0"/>
    <x v="1"/>
    <x v="0"/>
    <x v="2"/>
    <x v="15"/>
    <x v="0"/>
    <x v="0"/>
  </r>
  <r>
    <n v="13760"/>
    <x v="0"/>
    <x v="1"/>
    <n v="60000"/>
    <x v="5"/>
    <x v="4"/>
    <s v="Skilled Manual"/>
    <x v="1"/>
    <x v="0"/>
    <x v="0"/>
    <x v="2"/>
    <x v="15"/>
    <x v="0"/>
    <x v="0"/>
  </r>
  <r>
    <n v="18145"/>
    <x v="0"/>
    <x v="1"/>
    <n v="80000"/>
    <x v="2"/>
    <x v="0"/>
    <s v="Management"/>
    <x v="1"/>
    <x v="2"/>
    <x v="1"/>
    <x v="0"/>
    <x v="24"/>
    <x v="1"/>
    <x v="0"/>
  </r>
  <r>
    <n v="21770"/>
    <x v="0"/>
    <x v="1"/>
    <n v="60000"/>
    <x v="5"/>
    <x v="0"/>
    <s v="Management"/>
    <x v="0"/>
    <x v="2"/>
    <x v="4"/>
    <x v="2"/>
    <x v="2"/>
    <x v="1"/>
    <x v="0"/>
  </r>
  <r>
    <n v="11165"/>
    <x v="0"/>
    <x v="0"/>
    <n v="60000"/>
    <x v="3"/>
    <x v="1"/>
    <s v="Skilled Manual"/>
    <x v="1"/>
    <x v="1"/>
    <x v="3"/>
    <x v="2"/>
    <x v="6"/>
    <x v="0"/>
    <x v="0"/>
  </r>
  <r>
    <n v="16377"/>
    <x v="1"/>
    <x v="0"/>
    <n v="80000"/>
    <x v="5"/>
    <x v="4"/>
    <s v="Skilled Manual"/>
    <x v="1"/>
    <x v="0"/>
    <x v="0"/>
    <x v="2"/>
    <x v="15"/>
    <x v="0"/>
    <x v="0"/>
  </r>
  <r>
    <n v="26248"/>
    <x v="0"/>
    <x v="1"/>
    <n v="20000"/>
    <x v="1"/>
    <x v="3"/>
    <s v="Clerical"/>
    <x v="1"/>
    <x v="2"/>
    <x v="0"/>
    <x v="2"/>
    <x v="31"/>
    <x v="0"/>
    <x v="0"/>
  </r>
  <r>
    <n v="23461"/>
    <x v="0"/>
    <x v="0"/>
    <n v="90000"/>
    <x v="2"/>
    <x v="1"/>
    <s v="Professional"/>
    <x v="0"/>
    <x v="4"/>
    <x v="1"/>
    <x v="2"/>
    <x v="8"/>
    <x v="0"/>
    <x v="0"/>
  </r>
  <r>
    <n v="29133"/>
    <x v="1"/>
    <x v="0"/>
    <n v="60000"/>
    <x v="5"/>
    <x v="0"/>
    <s v="Skilled Manual"/>
    <x v="1"/>
    <x v="2"/>
    <x v="0"/>
    <x v="2"/>
    <x v="0"/>
    <x v="0"/>
    <x v="0"/>
  </r>
  <r>
    <n v="27673"/>
    <x v="1"/>
    <x v="0"/>
    <n v="60000"/>
    <x v="1"/>
    <x v="4"/>
    <s v="Management"/>
    <x v="0"/>
    <x v="2"/>
    <x v="2"/>
    <x v="2"/>
    <x v="39"/>
    <x v="0"/>
    <x v="1"/>
  </r>
  <r>
    <n v="12774"/>
    <x v="0"/>
    <x v="0"/>
    <n v="40000"/>
    <x v="0"/>
    <x v="1"/>
    <s v="Clerical"/>
    <x v="0"/>
    <x v="1"/>
    <x v="3"/>
    <x v="2"/>
    <x v="36"/>
    <x v="0"/>
    <x v="1"/>
  </r>
  <r>
    <n v="18910"/>
    <x v="1"/>
    <x v="1"/>
    <n v="30000"/>
    <x v="3"/>
    <x v="1"/>
    <s v="Skilled Manual"/>
    <x v="0"/>
    <x v="2"/>
    <x v="2"/>
    <x v="2"/>
    <x v="25"/>
    <x v="2"/>
    <x v="0"/>
  </r>
  <r>
    <n v="11699"/>
    <x v="1"/>
    <x v="1"/>
    <n v="60000"/>
    <x v="3"/>
    <x v="0"/>
    <s v="Skilled Manual"/>
    <x v="1"/>
    <x v="2"/>
    <x v="0"/>
    <x v="2"/>
    <x v="25"/>
    <x v="2"/>
    <x v="0"/>
  </r>
  <r>
    <n v="16725"/>
    <x v="0"/>
    <x v="1"/>
    <n v="30000"/>
    <x v="3"/>
    <x v="2"/>
    <s v="Skilled Manual"/>
    <x v="0"/>
    <x v="2"/>
    <x v="2"/>
    <x v="2"/>
    <x v="22"/>
    <x v="2"/>
    <x v="0"/>
  </r>
  <r>
    <n v="28269"/>
    <x v="1"/>
    <x v="0"/>
    <n v="130000"/>
    <x v="0"/>
    <x v="0"/>
    <s v="Management"/>
    <x v="1"/>
    <x v="1"/>
    <x v="1"/>
    <x v="2"/>
    <x v="12"/>
    <x v="0"/>
    <x v="0"/>
  </r>
  <r>
    <n v="23144"/>
    <x v="0"/>
    <x v="1"/>
    <n v="50000"/>
    <x v="0"/>
    <x v="0"/>
    <s v="Skilled Manual"/>
    <x v="0"/>
    <x v="0"/>
    <x v="0"/>
    <x v="2"/>
    <x v="17"/>
    <x v="0"/>
    <x v="1"/>
  </r>
  <r>
    <n v="23376"/>
    <x v="0"/>
    <x v="1"/>
    <n v="70000"/>
    <x v="0"/>
    <x v="0"/>
    <s v="Professional"/>
    <x v="0"/>
    <x v="1"/>
    <x v="1"/>
    <x v="2"/>
    <x v="20"/>
    <x v="0"/>
    <x v="1"/>
  </r>
  <r>
    <n v="25970"/>
    <x v="1"/>
    <x v="0"/>
    <n v="60000"/>
    <x v="5"/>
    <x v="0"/>
    <s v="Skilled Manual"/>
    <x v="1"/>
    <x v="2"/>
    <x v="0"/>
    <x v="2"/>
    <x v="3"/>
    <x v="0"/>
    <x v="1"/>
  </r>
  <r>
    <n v="28068"/>
    <x v="1"/>
    <x v="0"/>
    <n v="80000"/>
    <x v="1"/>
    <x v="4"/>
    <s v="Professional"/>
    <x v="1"/>
    <x v="0"/>
    <x v="0"/>
    <x v="2"/>
    <x v="4"/>
    <x v="0"/>
    <x v="1"/>
  </r>
  <r>
    <n v="18390"/>
    <x v="0"/>
    <x v="1"/>
    <n v="80000"/>
    <x v="2"/>
    <x v="1"/>
    <s v="Professional"/>
    <x v="0"/>
    <x v="2"/>
    <x v="0"/>
    <x v="2"/>
    <x v="20"/>
    <x v="0"/>
    <x v="0"/>
  </r>
  <r>
    <n v="29112"/>
    <x v="1"/>
    <x v="1"/>
    <n v="60000"/>
    <x v="3"/>
    <x v="1"/>
    <s v="Professional"/>
    <x v="1"/>
    <x v="2"/>
    <x v="3"/>
    <x v="2"/>
    <x v="25"/>
    <x v="2"/>
    <x v="0"/>
  </r>
  <r>
    <n v="14090"/>
    <x v="0"/>
    <x v="0"/>
    <n v="30000"/>
    <x v="3"/>
    <x v="3"/>
    <s v="Clerical"/>
    <x v="1"/>
    <x v="2"/>
    <x v="0"/>
    <x v="2"/>
    <x v="26"/>
    <x v="2"/>
    <x v="0"/>
  </r>
  <r>
    <n v="27040"/>
    <x v="0"/>
    <x v="1"/>
    <n v="20000"/>
    <x v="4"/>
    <x v="3"/>
    <s v="Clerical"/>
    <x v="0"/>
    <x v="2"/>
    <x v="3"/>
    <x v="2"/>
    <x v="38"/>
    <x v="0"/>
    <x v="0"/>
  </r>
  <r>
    <n v="23479"/>
    <x v="1"/>
    <x v="1"/>
    <n v="90000"/>
    <x v="3"/>
    <x v="1"/>
    <s v="Professional"/>
    <x v="1"/>
    <x v="2"/>
    <x v="0"/>
    <x v="2"/>
    <x v="1"/>
    <x v="0"/>
    <x v="1"/>
  </r>
  <r>
    <n v="16795"/>
    <x v="0"/>
    <x v="0"/>
    <n v="70000"/>
    <x v="5"/>
    <x v="0"/>
    <s v="Management"/>
    <x v="0"/>
    <x v="1"/>
    <x v="3"/>
    <x v="2"/>
    <x v="14"/>
    <x v="1"/>
    <x v="0"/>
  </r>
  <r>
    <n v="22014"/>
    <x v="1"/>
    <x v="1"/>
    <n v="30000"/>
    <x v="3"/>
    <x v="2"/>
    <s v="Skilled Manual"/>
    <x v="0"/>
    <x v="2"/>
    <x v="2"/>
    <x v="2"/>
    <x v="22"/>
    <x v="2"/>
    <x v="0"/>
  </r>
  <r>
    <n v="13314"/>
    <x v="0"/>
    <x v="1"/>
    <n v="120000"/>
    <x v="0"/>
    <x v="2"/>
    <s v="Professional"/>
    <x v="0"/>
    <x v="3"/>
    <x v="2"/>
    <x v="2"/>
    <x v="30"/>
    <x v="0"/>
    <x v="1"/>
  </r>
  <r>
    <n v="11619"/>
    <x v="1"/>
    <x v="0"/>
    <n v="50000"/>
    <x v="3"/>
    <x v="4"/>
    <s v="Skilled Manual"/>
    <x v="0"/>
    <x v="0"/>
    <x v="3"/>
    <x v="2"/>
    <x v="6"/>
    <x v="0"/>
    <x v="0"/>
  </r>
  <r>
    <n v="29132"/>
    <x v="1"/>
    <x v="0"/>
    <n v="40000"/>
    <x v="3"/>
    <x v="0"/>
    <s v="Professional"/>
    <x v="0"/>
    <x v="1"/>
    <x v="1"/>
    <x v="2"/>
    <x v="0"/>
    <x v="0"/>
    <x v="1"/>
  </r>
  <r>
    <n v="11199"/>
    <x v="0"/>
    <x v="0"/>
    <n v="70000"/>
    <x v="5"/>
    <x v="0"/>
    <s v="Management"/>
    <x v="0"/>
    <x v="1"/>
    <x v="4"/>
    <x v="2"/>
    <x v="14"/>
    <x v="1"/>
    <x v="0"/>
  </r>
  <r>
    <n v="20296"/>
    <x v="1"/>
    <x v="0"/>
    <n v="60000"/>
    <x v="3"/>
    <x v="1"/>
    <s v="Skilled Manual"/>
    <x v="1"/>
    <x v="1"/>
    <x v="3"/>
    <x v="2"/>
    <x v="6"/>
    <x v="0"/>
    <x v="1"/>
  </r>
  <r>
    <n v="17546"/>
    <x v="0"/>
    <x v="0"/>
    <n v="70000"/>
    <x v="0"/>
    <x v="1"/>
    <s v="Skilled Manual"/>
    <x v="0"/>
    <x v="1"/>
    <x v="0"/>
    <x v="2"/>
    <x v="20"/>
    <x v="0"/>
    <x v="1"/>
  </r>
  <r>
    <n v="18069"/>
    <x v="0"/>
    <x v="1"/>
    <n v="70000"/>
    <x v="2"/>
    <x v="0"/>
    <s v="Management"/>
    <x v="0"/>
    <x v="3"/>
    <x v="4"/>
    <x v="2"/>
    <x v="2"/>
    <x v="1"/>
    <x v="0"/>
  </r>
  <r>
    <n v="23712"/>
    <x v="1"/>
    <x v="0"/>
    <n v="70000"/>
    <x v="4"/>
    <x v="0"/>
    <s v="Management"/>
    <x v="0"/>
    <x v="1"/>
    <x v="4"/>
    <x v="2"/>
    <x v="14"/>
    <x v="1"/>
    <x v="0"/>
  </r>
  <r>
    <n v="23358"/>
    <x v="0"/>
    <x v="1"/>
    <n v="60000"/>
    <x v="3"/>
    <x v="2"/>
    <s v="Professional"/>
    <x v="0"/>
    <x v="2"/>
    <x v="2"/>
    <x v="2"/>
    <x v="21"/>
    <x v="0"/>
    <x v="1"/>
  </r>
  <r>
    <n v="20518"/>
    <x v="0"/>
    <x v="0"/>
    <n v="70000"/>
    <x v="4"/>
    <x v="1"/>
    <s v="Professional"/>
    <x v="0"/>
    <x v="1"/>
    <x v="4"/>
    <x v="2"/>
    <x v="7"/>
    <x v="1"/>
    <x v="0"/>
  </r>
  <r>
    <n v="28026"/>
    <x v="0"/>
    <x v="0"/>
    <n v="40000"/>
    <x v="4"/>
    <x v="2"/>
    <s v="Professional"/>
    <x v="1"/>
    <x v="2"/>
    <x v="1"/>
    <x v="2"/>
    <x v="14"/>
    <x v="1"/>
    <x v="0"/>
  </r>
  <r>
    <n v="11669"/>
    <x v="1"/>
    <x v="0"/>
    <n v="70000"/>
    <x v="4"/>
    <x v="0"/>
    <s v="Skilled Manual"/>
    <x v="0"/>
    <x v="1"/>
    <x v="1"/>
    <x v="2"/>
    <x v="13"/>
    <x v="0"/>
    <x v="0"/>
  </r>
  <r>
    <n v="16020"/>
    <x v="0"/>
    <x v="1"/>
    <n v="40000"/>
    <x v="3"/>
    <x v="2"/>
    <s v="Skilled Manual"/>
    <x v="0"/>
    <x v="2"/>
    <x v="2"/>
    <x v="2"/>
    <x v="26"/>
    <x v="2"/>
    <x v="1"/>
  </r>
  <r>
    <n v="27090"/>
    <x v="0"/>
    <x v="0"/>
    <n v="60000"/>
    <x v="0"/>
    <x v="4"/>
    <s v="Professional"/>
    <x v="0"/>
    <x v="0"/>
    <x v="1"/>
    <x v="2"/>
    <x v="34"/>
    <x v="0"/>
    <x v="1"/>
  </r>
  <r>
    <n v="27198"/>
    <x v="1"/>
    <x v="0"/>
    <n v="80000"/>
    <x v="3"/>
    <x v="4"/>
    <s v="Skilled Manual"/>
    <x v="1"/>
    <x v="0"/>
    <x v="0"/>
    <x v="2"/>
    <x v="8"/>
    <x v="0"/>
    <x v="0"/>
  </r>
  <r>
    <n v="19661"/>
    <x v="1"/>
    <x v="1"/>
    <n v="90000"/>
    <x v="5"/>
    <x v="0"/>
    <s v="Management"/>
    <x v="0"/>
    <x v="1"/>
    <x v="3"/>
    <x v="2"/>
    <x v="13"/>
    <x v="0"/>
    <x v="1"/>
  </r>
  <r>
    <n v="26327"/>
    <x v="0"/>
    <x v="1"/>
    <n v="70000"/>
    <x v="5"/>
    <x v="4"/>
    <s v="Professional"/>
    <x v="0"/>
    <x v="0"/>
    <x v="1"/>
    <x v="2"/>
    <x v="4"/>
    <x v="0"/>
    <x v="1"/>
  </r>
  <r>
    <n v="26341"/>
    <x v="0"/>
    <x v="0"/>
    <n v="70000"/>
    <x v="2"/>
    <x v="4"/>
    <s v="Professional"/>
    <x v="0"/>
    <x v="2"/>
    <x v="0"/>
    <x v="2"/>
    <x v="34"/>
    <x v="0"/>
    <x v="0"/>
  </r>
  <r>
    <n v="24958"/>
    <x v="1"/>
    <x v="0"/>
    <n v="40000"/>
    <x v="2"/>
    <x v="2"/>
    <s v="Professional"/>
    <x v="1"/>
    <x v="4"/>
    <x v="1"/>
    <x v="2"/>
    <x v="2"/>
    <x v="1"/>
    <x v="1"/>
  </r>
  <r>
    <n v="13287"/>
    <x v="1"/>
    <x v="1"/>
    <n v="110000"/>
    <x v="5"/>
    <x v="0"/>
    <s v="Management"/>
    <x v="0"/>
    <x v="3"/>
    <x v="2"/>
    <x v="2"/>
    <x v="0"/>
    <x v="0"/>
    <x v="1"/>
  </r>
  <r>
    <n v="14493"/>
    <x v="1"/>
    <x v="0"/>
    <n v="70000"/>
    <x v="1"/>
    <x v="4"/>
    <s v="Management"/>
    <x v="1"/>
    <x v="2"/>
    <x v="3"/>
    <x v="2"/>
    <x v="39"/>
    <x v="0"/>
    <x v="0"/>
  </r>
  <r>
    <n v="26678"/>
    <x v="1"/>
    <x v="0"/>
    <n v="80000"/>
    <x v="4"/>
    <x v="3"/>
    <s v="Skilled Manual"/>
    <x v="0"/>
    <x v="2"/>
    <x v="2"/>
    <x v="2"/>
    <x v="38"/>
    <x v="0"/>
    <x v="0"/>
  </r>
  <r>
    <n v="23275"/>
    <x v="0"/>
    <x v="1"/>
    <n v="30000"/>
    <x v="4"/>
    <x v="2"/>
    <s v="Skilled Manual"/>
    <x v="0"/>
    <x v="2"/>
    <x v="3"/>
    <x v="2"/>
    <x v="38"/>
    <x v="0"/>
    <x v="0"/>
  </r>
  <r>
    <n v="11270"/>
    <x v="0"/>
    <x v="1"/>
    <n v="130000"/>
    <x v="4"/>
    <x v="4"/>
    <s v="Management"/>
    <x v="0"/>
    <x v="4"/>
    <x v="0"/>
    <x v="2"/>
    <x v="0"/>
    <x v="0"/>
    <x v="1"/>
  </r>
  <r>
    <n v="20084"/>
    <x v="0"/>
    <x v="1"/>
    <n v="20000"/>
    <x v="4"/>
    <x v="2"/>
    <s v="Manual"/>
    <x v="1"/>
    <x v="2"/>
    <x v="0"/>
    <x v="2"/>
    <x v="39"/>
    <x v="0"/>
    <x v="0"/>
  </r>
  <r>
    <n v="16144"/>
    <x v="0"/>
    <x v="1"/>
    <n v="70000"/>
    <x v="0"/>
    <x v="4"/>
    <s v="Professional"/>
    <x v="0"/>
    <x v="1"/>
    <x v="0"/>
    <x v="2"/>
    <x v="30"/>
    <x v="0"/>
    <x v="1"/>
  </r>
  <r>
    <n v="27731"/>
    <x v="0"/>
    <x v="1"/>
    <n v="40000"/>
    <x v="3"/>
    <x v="2"/>
    <s v="Skilled Manual"/>
    <x v="0"/>
    <x v="2"/>
    <x v="2"/>
    <x v="2"/>
    <x v="40"/>
    <x v="2"/>
    <x v="0"/>
  </r>
  <r>
    <n v="11886"/>
    <x v="0"/>
    <x v="0"/>
    <n v="60000"/>
    <x v="1"/>
    <x v="0"/>
    <s v="Professional"/>
    <x v="0"/>
    <x v="1"/>
    <x v="0"/>
    <x v="2"/>
    <x v="28"/>
    <x v="0"/>
    <x v="1"/>
  </r>
  <r>
    <n v="24324"/>
    <x v="1"/>
    <x v="0"/>
    <n v="60000"/>
    <x v="5"/>
    <x v="0"/>
    <s v="Skilled Manual"/>
    <x v="0"/>
    <x v="2"/>
    <x v="1"/>
    <x v="2"/>
    <x v="3"/>
    <x v="0"/>
    <x v="1"/>
  </r>
  <r>
    <n v="22220"/>
    <x v="0"/>
    <x v="1"/>
    <n v="60000"/>
    <x v="4"/>
    <x v="2"/>
    <s v="Professional"/>
    <x v="1"/>
    <x v="2"/>
    <x v="3"/>
    <x v="2"/>
    <x v="38"/>
    <x v="0"/>
    <x v="1"/>
  </r>
  <r>
    <n v="26625"/>
    <x v="1"/>
    <x v="0"/>
    <n v="60000"/>
    <x v="3"/>
    <x v="4"/>
    <s v="Professional"/>
    <x v="0"/>
    <x v="1"/>
    <x v="1"/>
    <x v="2"/>
    <x v="13"/>
    <x v="0"/>
    <x v="1"/>
  </r>
  <r>
    <n v="23027"/>
    <x v="1"/>
    <x v="1"/>
    <n v="130000"/>
    <x v="0"/>
    <x v="0"/>
    <s v="Management"/>
    <x v="1"/>
    <x v="3"/>
    <x v="0"/>
    <x v="2"/>
    <x v="20"/>
    <x v="0"/>
    <x v="0"/>
  </r>
  <r>
    <n v="16867"/>
    <x v="1"/>
    <x v="0"/>
    <n v="130000"/>
    <x v="0"/>
    <x v="0"/>
    <s v="Management"/>
    <x v="1"/>
    <x v="4"/>
    <x v="0"/>
    <x v="2"/>
    <x v="12"/>
    <x v="0"/>
    <x v="1"/>
  </r>
  <r>
    <n v="14514"/>
    <x v="1"/>
    <x v="0"/>
    <n v="30000"/>
    <x v="3"/>
    <x v="1"/>
    <s v="Skilled Manual"/>
    <x v="0"/>
    <x v="1"/>
    <x v="2"/>
    <x v="2"/>
    <x v="22"/>
    <x v="2"/>
    <x v="0"/>
  </r>
  <r>
    <n v="19634"/>
    <x v="0"/>
    <x v="1"/>
    <n v="40000"/>
    <x v="3"/>
    <x v="2"/>
    <s v="Skilled Manual"/>
    <x v="0"/>
    <x v="1"/>
    <x v="2"/>
    <x v="2"/>
    <x v="23"/>
    <x v="0"/>
    <x v="0"/>
  </r>
  <r>
    <n v="18504"/>
    <x v="0"/>
    <x v="1"/>
    <n v="70000"/>
    <x v="4"/>
    <x v="3"/>
    <s v="Skilled Manual"/>
    <x v="1"/>
    <x v="2"/>
    <x v="3"/>
    <x v="2"/>
    <x v="38"/>
    <x v="0"/>
    <x v="0"/>
  </r>
  <r>
    <n v="28799"/>
    <x v="1"/>
    <x v="0"/>
    <n v="40000"/>
    <x v="4"/>
    <x v="1"/>
    <s v="Clerical"/>
    <x v="1"/>
    <x v="1"/>
    <x v="3"/>
    <x v="2"/>
    <x v="15"/>
    <x v="0"/>
    <x v="1"/>
  </r>
  <r>
    <n v="11225"/>
    <x v="0"/>
    <x v="0"/>
    <n v="60000"/>
    <x v="4"/>
    <x v="1"/>
    <s v="Professional"/>
    <x v="0"/>
    <x v="1"/>
    <x v="4"/>
    <x v="2"/>
    <x v="10"/>
    <x v="1"/>
    <x v="0"/>
  </r>
  <r>
    <n v="17657"/>
    <x v="0"/>
    <x v="1"/>
    <n v="40000"/>
    <x v="5"/>
    <x v="1"/>
    <s v="Clerical"/>
    <x v="1"/>
    <x v="0"/>
    <x v="0"/>
    <x v="2"/>
    <x v="25"/>
    <x v="2"/>
    <x v="0"/>
  </r>
  <r>
    <n v="14913"/>
    <x v="0"/>
    <x v="0"/>
    <n v="40000"/>
    <x v="0"/>
    <x v="1"/>
    <s v="Clerical"/>
    <x v="0"/>
    <x v="1"/>
    <x v="3"/>
    <x v="2"/>
    <x v="28"/>
    <x v="0"/>
    <x v="1"/>
  </r>
  <r>
    <n v="14077"/>
    <x v="1"/>
    <x v="1"/>
    <n v="30000"/>
    <x v="3"/>
    <x v="2"/>
    <s v="Skilled Manual"/>
    <x v="0"/>
    <x v="2"/>
    <x v="2"/>
    <x v="2"/>
    <x v="25"/>
    <x v="2"/>
    <x v="0"/>
  </r>
  <r>
    <n v="13296"/>
    <x v="0"/>
    <x v="1"/>
    <n v="110000"/>
    <x v="0"/>
    <x v="0"/>
    <s v="Management"/>
    <x v="0"/>
    <x v="4"/>
    <x v="2"/>
    <x v="2"/>
    <x v="12"/>
    <x v="0"/>
    <x v="0"/>
  </r>
  <r>
    <n v="20535"/>
    <x v="0"/>
    <x v="0"/>
    <n v="70000"/>
    <x v="5"/>
    <x v="1"/>
    <s v="Professional"/>
    <x v="0"/>
    <x v="1"/>
    <x v="4"/>
    <x v="2"/>
    <x v="16"/>
    <x v="1"/>
    <x v="0"/>
  </r>
  <r>
    <n v="12452"/>
    <x v="0"/>
    <x v="1"/>
    <n v="60000"/>
    <x v="5"/>
    <x v="4"/>
    <s v="Skilled Manual"/>
    <x v="0"/>
    <x v="0"/>
    <x v="3"/>
    <x v="2"/>
    <x v="15"/>
    <x v="0"/>
    <x v="1"/>
  </r>
  <r>
    <n v="28043"/>
    <x v="0"/>
    <x v="0"/>
    <n v="60000"/>
    <x v="4"/>
    <x v="0"/>
    <s v="Management"/>
    <x v="0"/>
    <x v="0"/>
    <x v="4"/>
    <x v="2"/>
    <x v="16"/>
    <x v="1"/>
    <x v="0"/>
  </r>
  <r>
    <n v="12957"/>
    <x v="1"/>
    <x v="0"/>
    <n v="70000"/>
    <x v="0"/>
    <x v="0"/>
    <s v="Professional"/>
    <x v="1"/>
    <x v="1"/>
    <x v="0"/>
    <x v="2"/>
    <x v="20"/>
    <x v="0"/>
    <x v="0"/>
  </r>
  <r>
    <n v="15412"/>
    <x v="0"/>
    <x v="1"/>
    <n v="130000"/>
    <x v="4"/>
    <x v="4"/>
    <s v="Management"/>
    <x v="0"/>
    <x v="4"/>
    <x v="1"/>
    <x v="2"/>
    <x v="45"/>
    <x v="1"/>
    <x v="0"/>
  </r>
  <r>
    <n v="20514"/>
    <x v="0"/>
    <x v="0"/>
    <n v="70000"/>
    <x v="4"/>
    <x v="1"/>
    <s v="Professional"/>
    <x v="0"/>
    <x v="1"/>
    <x v="1"/>
    <x v="2"/>
    <x v="14"/>
    <x v="1"/>
    <x v="0"/>
  </r>
  <r>
    <n v="20758"/>
    <x v="0"/>
    <x v="1"/>
    <n v="30000"/>
    <x v="4"/>
    <x v="2"/>
    <s v="Skilled Manual"/>
    <x v="0"/>
    <x v="2"/>
    <x v="3"/>
    <x v="2"/>
    <x v="5"/>
    <x v="0"/>
    <x v="0"/>
  </r>
  <r>
    <n v="11801"/>
    <x v="0"/>
    <x v="1"/>
    <n v="60000"/>
    <x v="0"/>
    <x v="4"/>
    <s v="Professional"/>
    <x v="0"/>
    <x v="0"/>
    <x v="1"/>
    <x v="2"/>
    <x v="4"/>
    <x v="0"/>
    <x v="0"/>
  </r>
  <r>
    <n v="22211"/>
    <x v="0"/>
    <x v="1"/>
    <n v="60000"/>
    <x v="3"/>
    <x v="1"/>
    <s v="Professional"/>
    <x v="0"/>
    <x v="2"/>
    <x v="2"/>
    <x v="2"/>
    <x v="21"/>
    <x v="0"/>
    <x v="0"/>
  </r>
  <r>
    <n v="28087"/>
    <x v="1"/>
    <x v="0"/>
    <n v="40000"/>
    <x v="3"/>
    <x v="1"/>
    <s v="Skilled Manual"/>
    <x v="1"/>
    <x v="1"/>
    <x v="3"/>
    <x v="2"/>
    <x v="40"/>
    <x v="2"/>
    <x v="0"/>
  </r>
  <r>
    <n v="23668"/>
    <x v="0"/>
    <x v="0"/>
    <n v="40000"/>
    <x v="5"/>
    <x v="2"/>
    <s v="Professional"/>
    <x v="0"/>
    <x v="2"/>
    <x v="2"/>
    <x v="2"/>
    <x v="14"/>
    <x v="1"/>
    <x v="1"/>
  </r>
  <r>
    <n v="27441"/>
    <x v="0"/>
    <x v="1"/>
    <n v="60000"/>
    <x v="1"/>
    <x v="2"/>
    <s v="Professional"/>
    <x v="1"/>
    <x v="2"/>
    <x v="1"/>
    <x v="2"/>
    <x v="39"/>
    <x v="0"/>
    <x v="0"/>
  </r>
  <r>
    <n v="27261"/>
    <x v="0"/>
    <x v="1"/>
    <n v="40000"/>
    <x v="0"/>
    <x v="0"/>
    <s v="Skilled Manual"/>
    <x v="1"/>
    <x v="1"/>
    <x v="0"/>
    <x v="2"/>
    <x v="4"/>
    <x v="0"/>
    <x v="1"/>
  </r>
  <r>
    <n v="18649"/>
    <x v="1"/>
    <x v="1"/>
    <n v="30000"/>
    <x v="0"/>
    <x v="2"/>
    <s v="Clerical"/>
    <x v="0"/>
    <x v="2"/>
    <x v="3"/>
    <x v="2"/>
    <x v="36"/>
    <x v="0"/>
    <x v="1"/>
  </r>
  <r>
    <n v="21714"/>
    <x v="1"/>
    <x v="0"/>
    <n v="80000"/>
    <x v="2"/>
    <x v="4"/>
    <s v="Skilled Manual"/>
    <x v="1"/>
    <x v="0"/>
    <x v="0"/>
    <x v="2"/>
    <x v="15"/>
    <x v="0"/>
    <x v="0"/>
  </r>
  <r>
    <n v="23217"/>
    <x v="1"/>
    <x v="0"/>
    <n v="60000"/>
    <x v="1"/>
    <x v="4"/>
    <s v="Professional"/>
    <x v="0"/>
    <x v="0"/>
    <x v="1"/>
    <x v="2"/>
    <x v="1"/>
    <x v="0"/>
    <x v="1"/>
  </r>
  <r>
    <n v="23797"/>
    <x v="1"/>
    <x v="1"/>
    <n v="20000"/>
    <x v="1"/>
    <x v="3"/>
    <s v="Clerical"/>
    <x v="1"/>
    <x v="2"/>
    <x v="0"/>
    <x v="2"/>
    <x v="5"/>
    <x v="0"/>
    <x v="0"/>
  </r>
  <r>
    <n v="13216"/>
    <x v="0"/>
    <x v="0"/>
    <n v="60000"/>
    <x v="2"/>
    <x v="0"/>
    <s v="Management"/>
    <x v="0"/>
    <x v="4"/>
    <x v="4"/>
    <x v="2"/>
    <x v="14"/>
    <x v="1"/>
    <x v="0"/>
  </r>
  <r>
    <n v="20657"/>
    <x v="1"/>
    <x v="1"/>
    <n v="50000"/>
    <x v="4"/>
    <x v="0"/>
    <s v="Skilled Manual"/>
    <x v="0"/>
    <x v="0"/>
    <x v="1"/>
    <x v="2"/>
    <x v="34"/>
    <x v="0"/>
    <x v="1"/>
  </r>
  <r>
    <n v="12882"/>
    <x v="0"/>
    <x v="1"/>
    <n v="50000"/>
    <x v="0"/>
    <x v="4"/>
    <s v="Skilled Manual"/>
    <x v="0"/>
    <x v="0"/>
    <x v="0"/>
    <x v="2"/>
    <x v="6"/>
    <x v="0"/>
    <x v="1"/>
  </r>
  <r>
    <n v="25908"/>
    <x v="0"/>
    <x v="0"/>
    <n v="60000"/>
    <x v="3"/>
    <x v="1"/>
    <s v="Skilled Manual"/>
    <x v="1"/>
    <x v="1"/>
    <x v="3"/>
    <x v="2"/>
    <x v="40"/>
    <x v="2"/>
    <x v="0"/>
  </r>
  <r>
    <n v="16753"/>
    <x v="1"/>
    <x v="0"/>
    <n v="70000"/>
    <x v="3"/>
    <x v="1"/>
    <s v="Skilled Manual"/>
    <x v="0"/>
    <x v="2"/>
    <x v="2"/>
    <x v="2"/>
    <x v="17"/>
    <x v="0"/>
    <x v="1"/>
  </r>
  <r>
    <n v="14608"/>
    <x v="0"/>
    <x v="1"/>
    <n v="50000"/>
    <x v="5"/>
    <x v="0"/>
    <s v="Skilled Manual"/>
    <x v="0"/>
    <x v="4"/>
    <x v="4"/>
    <x v="2"/>
    <x v="0"/>
    <x v="0"/>
    <x v="0"/>
  </r>
  <r>
    <n v="24979"/>
    <x v="0"/>
    <x v="0"/>
    <n v="60000"/>
    <x v="4"/>
    <x v="1"/>
    <s v="Professional"/>
    <x v="0"/>
    <x v="2"/>
    <x v="1"/>
    <x v="2"/>
    <x v="42"/>
    <x v="1"/>
    <x v="1"/>
  </r>
  <r>
    <n v="13313"/>
    <x v="0"/>
    <x v="0"/>
    <n v="120000"/>
    <x v="0"/>
    <x v="2"/>
    <s v="Professional"/>
    <x v="1"/>
    <x v="3"/>
    <x v="1"/>
    <x v="2"/>
    <x v="12"/>
    <x v="0"/>
    <x v="0"/>
  </r>
  <r>
    <n v="18952"/>
    <x v="0"/>
    <x v="0"/>
    <n v="100000"/>
    <x v="5"/>
    <x v="0"/>
    <s v="Management"/>
    <x v="0"/>
    <x v="3"/>
    <x v="0"/>
    <x v="2"/>
    <x v="8"/>
    <x v="0"/>
    <x v="0"/>
  </r>
  <r>
    <n v="17699"/>
    <x v="0"/>
    <x v="1"/>
    <n v="60000"/>
    <x v="0"/>
    <x v="4"/>
    <s v="Skilled Manual"/>
    <x v="1"/>
    <x v="0"/>
    <x v="0"/>
    <x v="2"/>
    <x v="10"/>
    <x v="1"/>
    <x v="0"/>
  </r>
  <r>
    <n v="14657"/>
    <x v="0"/>
    <x v="1"/>
    <n v="80000"/>
    <x v="0"/>
    <x v="1"/>
    <s v="Skilled Manual"/>
    <x v="1"/>
    <x v="1"/>
    <x v="0"/>
    <x v="2"/>
    <x v="15"/>
    <x v="0"/>
    <x v="1"/>
  </r>
  <r>
    <n v="11540"/>
    <x v="1"/>
    <x v="1"/>
    <n v="60000"/>
    <x v="5"/>
    <x v="4"/>
    <s v="Skilled Manual"/>
    <x v="0"/>
    <x v="0"/>
    <x v="3"/>
    <x v="2"/>
    <x v="15"/>
    <x v="0"/>
    <x v="1"/>
  </r>
  <r>
    <n v="11783"/>
    <x v="0"/>
    <x v="0"/>
    <n v="60000"/>
    <x v="0"/>
    <x v="4"/>
    <s v="Skilled Manual"/>
    <x v="0"/>
    <x v="0"/>
    <x v="0"/>
    <x v="2"/>
    <x v="17"/>
    <x v="0"/>
    <x v="0"/>
  </r>
  <r>
    <n v="14602"/>
    <x v="0"/>
    <x v="0"/>
    <n v="80000"/>
    <x v="1"/>
    <x v="4"/>
    <s v="Professional"/>
    <x v="0"/>
    <x v="0"/>
    <x v="0"/>
    <x v="2"/>
    <x v="4"/>
    <x v="0"/>
    <x v="1"/>
  </r>
  <r>
    <n v="29030"/>
    <x v="0"/>
    <x v="1"/>
    <n v="70000"/>
    <x v="4"/>
    <x v="3"/>
    <s v="Skilled Manual"/>
    <x v="0"/>
    <x v="2"/>
    <x v="4"/>
    <x v="2"/>
    <x v="9"/>
    <x v="0"/>
    <x v="0"/>
  </r>
  <r>
    <n v="26490"/>
    <x v="1"/>
    <x v="1"/>
    <n v="70000"/>
    <x v="4"/>
    <x v="0"/>
    <s v="Management"/>
    <x v="1"/>
    <x v="1"/>
    <x v="1"/>
    <x v="2"/>
    <x v="14"/>
    <x v="1"/>
    <x v="1"/>
  </r>
  <r>
    <n v="13151"/>
    <x v="1"/>
    <x v="1"/>
    <n v="40000"/>
    <x v="3"/>
    <x v="2"/>
    <s v="Skilled Manual"/>
    <x v="0"/>
    <x v="2"/>
    <x v="2"/>
    <x v="2"/>
    <x v="40"/>
    <x v="2"/>
    <x v="0"/>
  </r>
  <r>
    <n v="17260"/>
    <x v="0"/>
    <x v="1"/>
    <n v="90000"/>
    <x v="2"/>
    <x v="1"/>
    <s v="Professional"/>
    <x v="0"/>
    <x v="4"/>
    <x v="0"/>
    <x v="2"/>
    <x v="3"/>
    <x v="0"/>
    <x v="0"/>
  </r>
  <r>
    <n v="15372"/>
    <x v="0"/>
    <x v="1"/>
    <n v="80000"/>
    <x v="1"/>
    <x v="1"/>
    <s v="Professional"/>
    <x v="1"/>
    <x v="2"/>
    <x v="1"/>
    <x v="2"/>
    <x v="5"/>
    <x v="0"/>
    <x v="1"/>
  </r>
  <r>
    <n v="18105"/>
    <x v="0"/>
    <x v="0"/>
    <n v="60000"/>
    <x v="4"/>
    <x v="1"/>
    <s v="Professional"/>
    <x v="0"/>
    <x v="1"/>
    <x v="4"/>
    <x v="2"/>
    <x v="10"/>
    <x v="1"/>
    <x v="0"/>
  </r>
  <r>
    <n v="19660"/>
    <x v="0"/>
    <x v="1"/>
    <n v="80000"/>
    <x v="5"/>
    <x v="0"/>
    <s v="Management"/>
    <x v="0"/>
    <x v="0"/>
    <x v="0"/>
    <x v="2"/>
    <x v="1"/>
    <x v="0"/>
    <x v="0"/>
  </r>
  <r>
    <n v="16112"/>
    <x v="1"/>
    <x v="1"/>
    <n v="70000"/>
    <x v="5"/>
    <x v="0"/>
    <s v="Professional"/>
    <x v="0"/>
    <x v="2"/>
    <x v="1"/>
    <x v="2"/>
    <x v="1"/>
    <x v="0"/>
    <x v="1"/>
  </r>
  <r>
    <n v="20698"/>
    <x v="0"/>
    <x v="1"/>
    <n v="60000"/>
    <x v="5"/>
    <x v="0"/>
    <s v="Skilled Manual"/>
    <x v="0"/>
    <x v="4"/>
    <x v="2"/>
    <x v="2"/>
    <x v="0"/>
    <x v="0"/>
    <x v="0"/>
  </r>
  <r>
    <n v="20076"/>
    <x v="1"/>
    <x v="0"/>
    <n v="10000"/>
    <x v="4"/>
    <x v="2"/>
    <s v="Manual"/>
    <x v="0"/>
    <x v="2"/>
    <x v="3"/>
    <x v="2"/>
    <x v="39"/>
    <x v="0"/>
    <x v="1"/>
  </r>
  <r>
    <n v="24496"/>
    <x v="1"/>
    <x v="0"/>
    <n v="40000"/>
    <x v="3"/>
    <x v="2"/>
    <s v="Skilled Manual"/>
    <x v="1"/>
    <x v="2"/>
    <x v="0"/>
    <x v="2"/>
    <x v="26"/>
    <x v="2"/>
    <x v="1"/>
  </r>
  <r>
    <n v="15468"/>
    <x v="0"/>
    <x v="0"/>
    <n v="50000"/>
    <x v="0"/>
    <x v="0"/>
    <s v="Skilled Manual"/>
    <x v="0"/>
    <x v="1"/>
    <x v="0"/>
    <x v="2"/>
    <x v="11"/>
    <x v="0"/>
    <x v="0"/>
  </r>
  <r>
    <n v="28031"/>
    <x v="1"/>
    <x v="0"/>
    <n v="70000"/>
    <x v="4"/>
    <x v="0"/>
    <s v="Management"/>
    <x v="1"/>
    <x v="1"/>
    <x v="1"/>
    <x v="2"/>
    <x v="14"/>
    <x v="1"/>
    <x v="1"/>
  </r>
  <r>
    <n v="26270"/>
    <x v="1"/>
    <x v="0"/>
    <n v="20000"/>
    <x v="4"/>
    <x v="3"/>
    <s v="Clerical"/>
    <x v="0"/>
    <x v="2"/>
    <x v="3"/>
    <x v="2"/>
    <x v="38"/>
    <x v="0"/>
    <x v="0"/>
  </r>
  <r>
    <n v="22221"/>
    <x v="0"/>
    <x v="1"/>
    <n v="60000"/>
    <x v="4"/>
    <x v="2"/>
    <s v="Professional"/>
    <x v="1"/>
    <x v="2"/>
    <x v="3"/>
    <x v="2"/>
    <x v="28"/>
    <x v="0"/>
    <x v="1"/>
  </r>
  <r>
    <n v="28228"/>
    <x v="1"/>
    <x v="0"/>
    <n v="80000"/>
    <x v="4"/>
    <x v="3"/>
    <s v="Skilled Manual"/>
    <x v="1"/>
    <x v="2"/>
    <x v="3"/>
    <x v="2"/>
    <x v="5"/>
    <x v="0"/>
    <x v="0"/>
  </r>
  <r>
    <n v="18363"/>
    <x v="0"/>
    <x v="1"/>
    <n v="40000"/>
    <x v="3"/>
    <x v="2"/>
    <s v="Skilled Manual"/>
    <x v="0"/>
    <x v="2"/>
    <x v="2"/>
    <x v="2"/>
    <x v="26"/>
    <x v="2"/>
    <x v="1"/>
  </r>
  <r>
    <n v="23256"/>
    <x v="1"/>
    <x v="1"/>
    <n v="30000"/>
    <x v="0"/>
    <x v="2"/>
    <s v="Clerical"/>
    <x v="1"/>
    <x v="1"/>
    <x v="2"/>
    <x v="2"/>
    <x v="31"/>
    <x v="0"/>
    <x v="0"/>
  </r>
  <r>
    <n v="12768"/>
    <x v="0"/>
    <x v="1"/>
    <n v="30000"/>
    <x v="0"/>
    <x v="2"/>
    <s v="Clerical"/>
    <x v="0"/>
    <x v="1"/>
    <x v="1"/>
    <x v="2"/>
    <x v="31"/>
    <x v="0"/>
    <x v="1"/>
  </r>
  <r>
    <n v="20361"/>
    <x v="0"/>
    <x v="1"/>
    <n v="50000"/>
    <x v="4"/>
    <x v="4"/>
    <s v="Management"/>
    <x v="0"/>
    <x v="2"/>
    <x v="2"/>
    <x v="2"/>
    <x v="45"/>
    <x v="1"/>
    <x v="0"/>
  </r>
  <r>
    <n v="21306"/>
    <x v="1"/>
    <x v="1"/>
    <n v="60000"/>
    <x v="4"/>
    <x v="2"/>
    <s v="Professional"/>
    <x v="0"/>
    <x v="2"/>
    <x v="2"/>
    <x v="2"/>
    <x v="36"/>
    <x v="0"/>
    <x v="0"/>
  </r>
  <r>
    <n v="13382"/>
    <x v="0"/>
    <x v="1"/>
    <n v="70000"/>
    <x v="2"/>
    <x v="1"/>
    <s v="Professional"/>
    <x v="0"/>
    <x v="2"/>
    <x v="3"/>
    <x v="2"/>
    <x v="42"/>
    <x v="1"/>
    <x v="1"/>
  </r>
  <r>
    <n v="20310"/>
    <x v="1"/>
    <x v="1"/>
    <n v="60000"/>
    <x v="3"/>
    <x v="1"/>
    <s v="Skilled Manual"/>
    <x v="0"/>
    <x v="1"/>
    <x v="2"/>
    <x v="2"/>
    <x v="40"/>
    <x v="2"/>
    <x v="1"/>
  </r>
  <r>
    <n v="22971"/>
    <x v="1"/>
    <x v="0"/>
    <n v="30000"/>
    <x v="3"/>
    <x v="2"/>
    <s v="Skilled Manual"/>
    <x v="1"/>
    <x v="2"/>
    <x v="0"/>
    <x v="2"/>
    <x v="37"/>
    <x v="2"/>
    <x v="1"/>
  </r>
  <r>
    <n v="15287"/>
    <x v="1"/>
    <x v="0"/>
    <n v="50000"/>
    <x v="0"/>
    <x v="4"/>
    <s v="Skilled Manual"/>
    <x v="0"/>
    <x v="0"/>
    <x v="3"/>
    <x v="2"/>
    <x v="6"/>
    <x v="0"/>
    <x v="1"/>
  </r>
  <r>
    <n v="15532"/>
    <x v="1"/>
    <x v="1"/>
    <n v="60000"/>
    <x v="5"/>
    <x v="0"/>
    <s v="Professional"/>
    <x v="0"/>
    <x v="2"/>
    <x v="1"/>
    <x v="2"/>
    <x v="1"/>
    <x v="0"/>
    <x v="1"/>
  </r>
  <r>
    <n v="11255"/>
    <x v="0"/>
    <x v="1"/>
    <n v="70000"/>
    <x v="5"/>
    <x v="4"/>
    <s v="Management"/>
    <x v="0"/>
    <x v="2"/>
    <x v="2"/>
    <x v="2"/>
    <x v="49"/>
    <x v="1"/>
    <x v="0"/>
  </r>
  <r>
    <n v="28090"/>
    <x v="0"/>
    <x v="1"/>
    <n v="40000"/>
    <x v="3"/>
    <x v="1"/>
    <s v="Skilled Manual"/>
    <x v="0"/>
    <x v="1"/>
    <x v="2"/>
    <x v="2"/>
    <x v="40"/>
    <x v="2"/>
    <x v="0"/>
  </r>
  <r>
    <n v="15255"/>
    <x v="0"/>
    <x v="1"/>
    <n v="40000"/>
    <x v="3"/>
    <x v="2"/>
    <s v="Skilled Manual"/>
    <x v="0"/>
    <x v="2"/>
    <x v="2"/>
    <x v="2"/>
    <x v="26"/>
    <x v="2"/>
    <x v="1"/>
  </r>
  <r>
    <n v="13154"/>
    <x v="0"/>
    <x v="1"/>
    <n v="40000"/>
    <x v="3"/>
    <x v="2"/>
    <s v="Skilled Manual"/>
    <x v="1"/>
    <x v="2"/>
    <x v="0"/>
    <x v="2"/>
    <x v="40"/>
    <x v="2"/>
    <x v="1"/>
  </r>
  <r>
    <n v="26778"/>
    <x v="1"/>
    <x v="0"/>
    <n v="40000"/>
    <x v="3"/>
    <x v="2"/>
    <s v="Skilled Manual"/>
    <x v="0"/>
    <x v="2"/>
    <x v="2"/>
    <x v="2"/>
    <x v="23"/>
    <x v="0"/>
    <x v="0"/>
  </r>
  <r>
    <n v="23248"/>
    <x v="0"/>
    <x v="0"/>
    <n v="10000"/>
    <x v="4"/>
    <x v="2"/>
    <s v="Manual"/>
    <x v="0"/>
    <x v="2"/>
    <x v="3"/>
    <x v="2"/>
    <x v="39"/>
    <x v="0"/>
    <x v="0"/>
  </r>
  <r>
    <n v="21417"/>
    <x v="1"/>
    <x v="0"/>
    <n v="60000"/>
    <x v="3"/>
    <x v="1"/>
    <s v="Professional"/>
    <x v="1"/>
    <x v="2"/>
    <x v="3"/>
    <x v="2"/>
    <x v="21"/>
    <x v="0"/>
    <x v="1"/>
  </r>
  <r>
    <n v="17668"/>
    <x v="1"/>
    <x v="1"/>
    <n v="30000"/>
    <x v="4"/>
    <x v="2"/>
    <s v="Skilled Manual"/>
    <x v="0"/>
    <x v="2"/>
    <x v="3"/>
    <x v="2"/>
    <x v="5"/>
    <x v="0"/>
    <x v="1"/>
  </r>
  <r>
    <n v="27994"/>
    <x v="0"/>
    <x v="0"/>
    <n v="40000"/>
    <x v="5"/>
    <x v="2"/>
    <s v="Professional"/>
    <x v="0"/>
    <x v="2"/>
    <x v="2"/>
    <x v="2"/>
    <x v="45"/>
    <x v="1"/>
    <x v="0"/>
  </r>
  <r>
    <n v="20376"/>
    <x v="1"/>
    <x v="0"/>
    <n v="70000"/>
    <x v="1"/>
    <x v="4"/>
    <s v="Management"/>
    <x v="0"/>
    <x v="2"/>
    <x v="2"/>
    <x v="2"/>
    <x v="31"/>
    <x v="0"/>
    <x v="1"/>
  </r>
  <r>
    <n v="25954"/>
    <x v="0"/>
    <x v="1"/>
    <n v="60000"/>
    <x v="3"/>
    <x v="1"/>
    <s v="Skilled Manual"/>
    <x v="1"/>
    <x v="2"/>
    <x v="3"/>
    <x v="2"/>
    <x v="23"/>
    <x v="0"/>
    <x v="0"/>
  </r>
  <r>
    <n v="15749"/>
    <x v="1"/>
    <x v="0"/>
    <n v="70000"/>
    <x v="5"/>
    <x v="0"/>
    <s v="Management"/>
    <x v="0"/>
    <x v="2"/>
    <x v="4"/>
    <x v="2"/>
    <x v="33"/>
    <x v="1"/>
    <x v="0"/>
  </r>
  <r>
    <n v="25899"/>
    <x v="0"/>
    <x v="0"/>
    <n v="70000"/>
    <x v="4"/>
    <x v="2"/>
    <s v="Professional"/>
    <x v="0"/>
    <x v="2"/>
    <x v="4"/>
    <x v="2"/>
    <x v="39"/>
    <x v="0"/>
    <x v="0"/>
  </r>
  <r>
    <n v="13351"/>
    <x v="1"/>
    <x v="0"/>
    <n v="70000"/>
    <x v="5"/>
    <x v="0"/>
    <s v="Management"/>
    <x v="0"/>
    <x v="2"/>
    <x v="3"/>
    <x v="2"/>
    <x v="24"/>
    <x v="1"/>
    <x v="1"/>
  </r>
  <r>
    <n v="23333"/>
    <x v="0"/>
    <x v="1"/>
    <n v="40000"/>
    <x v="3"/>
    <x v="1"/>
    <s v="Skilled Manual"/>
    <x v="1"/>
    <x v="2"/>
    <x v="3"/>
    <x v="2"/>
    <x v="25"/>
    <x v="2"/>
    <x v="0"/>
  </r>
  <r>
    <n v="21660"/>
    <x v="0"/>
    <x v="0"/>
    <n v="60000"/>
    <x v="1"/>
    <x v="4"/>
    <s v="Professional"/>
    <x v="0"/>
    <x v="0"/>
    <x v="1"/>
    <x v="2"/>
    <x v="1"/>
    <x v="0"/>
    <x v="1"/>
  </r>
  <r>
    <n v="17012"/>
    <x v="0"/>
    <x v="0"/>
    <n v="60000"/>
    <x v="1"/>
    <x v="4"/>
    <s v="Professional"/>
    <x v="0"/>
    <x v="0"/>
    <x v="1"/>
    <x v="2"/>
    <x v="0"/>
    <x v="0"/>
    <x v="1"/>
  </r>
  <r>
    <n v="24514"/>
    <x v="0"/>
    <x v="1"/>
    <n v="40000"/>
    <x v="3"/>
    <x v="1"/>
    <s v="Skilled Manual"/>
    <x v="0"/>
    <x v="1"/>
    <x v="2"/>
    <x v="2"/>
    <x v="25"/>
    <x v="2"/>
    <x v="0"/>
  </r>
  <r>
    <n v="27505"/>
    <x v="1"/>
    <x v="0"/>
    <n v="40000"/>
    <x v="3"/>
    <x v="2"/>
    <s v="Skilled Manual"/>
    <x v="0"/>
    <x v="2"/>
    <x v="2"/>
    <x v="2"/>
    <x v="25"/>
    <x v="2"/>
    <x v="0"/>
  </r>
  <r>
    <n v="29243"/>
    <x v="1"/>
    <x v="1"/>
    <n v="110000"/>
    <x v="0"/>
    <x v="0"/>
    <s v="Management"/>
    <x v="0"/>
    <x v="1"/>
    <x v="2"/>
    <x v="2"/>
    <x v="1"/>
    <x v="0"/>
    <x v="0"/>
  </r>
  <r>
    <n v="26582"/>
    <x v="0"/>
    <x v="1"/>
    <n v="60000"/>
    <x v="3"/>
    <x v="1"/>
    <s v="Skilled Manual"/>
    <x v="0"/>
    <x v="2"/>
    <x v="2"/>
    <x v="2"/>
    <x v="6"/>
    <x v="0"/>
    <x v="1"/>
  </r>
  <r>
    <n v="14271"/>
    <x v="0"/>
    <x v="1"/>
    <n v="30000"/>
    <x v="3"/>
    <x v="2"/>
    <s v="Skilled Manual"/>
    <x v="0"/>
    <x v="2"/>
    <x v="2"/>
    <x v="2"/>
    <x v="21"/>
    <x v="0"/>
    <x v="0"/>
  </r>
  <r>
    <n v="23041"/>
    <x v="1"/>
    <x v="0"/>
    <n v="70000"/>
    <x v="5"/>
    <x v="2"/>
    <s v="Professional"/>
    <x v="0"/>
    <x v="0"/>
    <x v="2"/>
    <x v="2"/>
    <x v="5"/>
    <x v="0"/>
    <x v="1"/>
  </r>
  <r>
    <n v="29048"/>
    <x v="1"/>
    <x v="1"/>
    <n v="110000"/>
    <x v="4"/>
    <x v="0"/>
    <s v="Management"/>
    <x v="1"/>
    <x v="4"/>
    <x v="0"/>
    <x v="2"/>
    <x v="34"/>
    <x v="0"/>
    <x v="1"/>
  </r>
  <r>
    <n v="24433"/>
    <x v="0"/>
    <x v="1"/>
    <n v="70000"/>
    <x v="1"/>
    <x v="2"/>
    <s v="Professional"/>
    <x v="1"/>
    <x v="1"/>
    <x v="3"/>
    <x v="2"/>
    <x v="31"/>
    <x v="0"/>
    <x v="1"/>
  </r>
  <r>
    <n v="15501"/>
    <x v="0"/>
    <x v="1"/>
    <n v="70000"/>
    <x v="5"/>
    <x v="4"/>
    <s v="Professional"/>
    <x v="0"/>
    <x v="0"/>
    <x v="1"/>
    <x v="2"/>
    <x v="4"/>
    <x v="0"/>
    <x v="1"/>
  </r>
  <r>
    <n v="13911"/>
    <x v="1"/>
    <x v="0"/>
    <n v="80000"/>
    <x v="1"/>
    <x v="0"/>
    <s v="Skilled Manual"/>
    <x v="0"/>
    <x v="2"/>
    <x v="1"/>
    <x v="2"/>
    <x v="3"/>
    <x v="0"/>
    <x v="1"/>
  </r>
  <r>
    <n v="20421"/>
    <x v="1"/>
    <x v="0"/>
    <n v="40000"/>
    <x v="3"/>
    <x v="3"/>
    <s v="Clerical"/>
    <x v="0"/>
    <x v="2"/>
    <x v="2"/>
    <x v="2"/>
    <x v="22"/>
    <x v="2"/>
    <x v="0"/>
  </r>
  <r>
    <n v="16009"/>
    <x v="1"/>
    <x v="1"/>
    <n v="170000"/>
    <x v="0"/>
    <x v="4"/>
    <s v="Management"/>
    <x v="1"/>
    <x v="3"/>
    <x v="0"/>
    <x v="2"/>
    <x v="29"/>
    <x v="1"/>
    <x v="0"/>
  </r>
  <r>
    <n v="18411"/>
    <x v="0"/>
    <x v="1"/>
    <n v="60000"/>
    <x v="4"/>
    <x v="2"/>
    <s v="Professional"/>
    <x v="1"/>
    <x v="2"/>
    <x v="2"/>
    <x v="2"/>
    <x v="36"/>
    <x v="0"/>
    <x v="0"/>
  </r>
  <r>
    <n v="19163"/>
    <x v="0"/>
    <x v="0"/>
    <n v="70000"/>
    <x v="5"/>
    <x v="0"/>
    <s v="Professional"/>
    <x v="0"/>
    <x v="2"/>
    <x v="0"/>
    <x v="2"/>
    <x v="1"/>
    <x v="0"/>
    <x v="1"/>
  </r>
  <r>
    <n v="18572"/>
    <x v="0"/>
    <x v="0"/>
    <n v="60000"/>
    <x v="3"/>
    <x v="4"/>
    <s v="Professional"/>
    <x v="0"/>
    <x v="0"/>
    <x v="0"/>
    <x v="2"/>
    <x v="32"/>
    <x v="0"/>
    <x v="0"/>
  </r>
  <r>
    <n v="27540"/>
    <x v="1"/>
    <x v="0"/>
    <n v="70000"/>
    <x v="3"/>
    <x v="0"/>
    <s v="Professional"/>
    <x v="1"/>
    <x v="1"/>
    <x v="0"/>
    <x v="2"/>
    <x v="34"/>
    <x v="0"/>
    <x v="1"/>
  </r>
  <r>
    <n v="19889"/>
    <x v="1"/>
    <x v="0"/>
    <n v="70000"/>
    <x v="4"/>
    <x v="3"/>
    <s v="Skilled Manual"/>
    <x v="1"/>
    <x v="2"/>
    <x v="1"/>
    <x v="2"/>
    <x v="9"/>
    <x v="0"/>
    <x v="1"/>
  </r>
  <r>
    <n v="12922"/>
    <x v="1"/>
    <x v="0"/>
    <n v="60000"/>
    <x v="1"/>
    <x v="0"/>
    <s v="Skilled Manual"/>
    <x v="0"/>
    <x v="0"/>
    <x v="1"/>
    <x v="2"/>
    <x v="8"/>
    <x v="0"/>
    <x v="1"/>
  </r>
  <r>
    <n v="18891"/>
    <x v="0"/>
    <x v="0"/>
    <n v="40000"/>
    <x v="3"/>
    <x v="1"/>
    <s v="Skilled Manual"/>
    <x v="0"/>
    <x v="2"/>
    <x v="2"/>
    <x v="2"/>
    <x v="26"/>
    <x v="2"/>
    <x v="0"/>
  </r>
  <r>
    <n v="16773"/>
    <x v="0"/>
    <x v="1"/>
    <n v="60000"/>
    <x v="0"/>
    <x v="4"/>
    <s v="Skilled Manual"/>
    <x v="0"/>
    <x v="0"/>
    <x v="0"/>
    <x v="2"/>
    <x v="6"/>
    <x v="0"/>
    <x v="0"/>
  </r>
  <r>
    <n v="19143"/>
    <x v="1"/>
    <x v="0"/>
    <n v="80000"/>
    <x v="1"/>
    <x v="0"/>
    <s v="Skilled Manual"/>
    <x v="0"/>
    <x v="2"/>
    <x v="1"/>
    <x v="2"/>
    <x v="3"/>
    <x v="0"/>
    <x v="1"/>
  </r>
  <r>
    <n v="23882"/>
    <x v="1"/>
    <x v="0"/>
    <n v="80000"/>
    <x v="1"/>
    <x v="4"/>
    <s v="Professional"/>
    <x v="0"/>
    <x v="0"/>
    <x v="0"/>
    <x v="2"/>
    <x v="34"/>
    <x v="0"/>
    <x v="1"/>
  </r>
  <r>
    <n v="11233"/>
    <x v="0"/>
    <x v="1"/>
    <n v="70000"/>
    <x v="5"/>
    <x v="1"/>
    <s v="Professional"/>
    <x v="0"/>
    <x v="2"/>
    <x v="4"/>
    <x v="2"/>
    <x v="39"/>
    <x v="0"/>
    <x v="0"/>
  </r>
  <r>
    <n v="12056"/>
    <x v="0"/>
    <x v="1"/>
    <n v="120000"/>
    <x v="4"/>
    <x v="4"/>
    <s v="Management"/>
    <x v="0"/>
    <x v="4"/>
    <x v="2"/>
    <x v="2"/>
    <x v="46"/>
    <x v="1"/>
    <x v="0"/>
  </r>
  <r>
    <n v="15555"/>
    <x v="0"/>
    <x v="0"/>
    <n v="60000"/>
    <x v="0"/>
    <x v="1"/>
    <s v="Skilled Manual"/>
    <x v="0"/>
    <x v="1"/>
    <x v="1"/>
    <x v="2"/>
    <x v="12"/>
    <x v="0"/>
    <x v="1"/>
  </r>
  <r>
    <n v="18423"/>
    <x v="1"/>
    <x v="1"/>
    <n v="80000"/>
    <x v="4"/>
    <x v="3"/>
    <s v="Skilled Manual"/>
    <x v="1"/>
    <x v="2"/>
    <x v="3"/>
    <x v="2"/>
    <x v="31"/>
    <x v="0"/>
    <x v="0"/>
  </r>
  <r>
    <n v="22743"/>
    <x v="0"/>
    <x v="0"/>
    <n v="40000"/>
    <x v="2"/>
    <x v="2"/>
    <s v="Professional"/>
    <x v="0"/>
    <x v="2"/>
    <x v="4"/>
    <x v="2"/>
    <x v="2"/>
    <x v="1"/>
    <x v="0"/>
  </r>
  <r>
    <n v="25343"/>
    <x v="1"/>
    <x v="0"/>
    <n v="20000"/>
    <x v="1"/>
    <x v="3"/>
    <s v="Clerical"/>
    <x v="0"/>
    <x v="2"/>
    <x v="3"/>
    <x v="2"/>
    <x v="5"/>
    <x v="0"/>
    <x v="0"/>
  </r>
  <r>
    <n v="13390"/>
    <x v="0"/>
    <x v="0"/>
    <n v="70000"/>
    <x v="5"/>
    <x v="1"/>
    <s v="Professional"/>
    <x v="1"/>
    <x v="1"/>
    <x v="3"/>
    <x v="2"/>
    <x v="16"/>
    <x v="1"/>
    <x v="0"/>
  </r>
  <r>
    <n v="17482"/>
    <x v="1"/>
    <x v="0"/>
    <n v="40000"/>
    <x v="3"/>
    <x v="3"/>
    <s v="Clerical"/>
    <x v="0"/>
    <x v="2"/>
    <x v="2"/>
    <x v="2"/>
    <x v="19"/>
    <x v="2"/>
    <x v="0"/>
  </r>
  <r>
    <n v="13176"/>
    <x v="1"/>
    <x v="1"/>
    <n v="130000"/>
    <x v="3"/>
    <x v="4"/>
    <s v="Management"/>
    <x v="1"/>
    <x v="2"/>
    <x v="0"/>
    <x v="2"/>
    <x v="13"/>
    <x v="0"/>
    <x v="1"/>
  </r>
  <r>
    <n v="20504"/>
    <x v="0"/>
    <x v="0"/>
    <n v="40000"/>
    <x v="2"/>
    <x v="2"/>
    <s v="Professional"/>
    <x v="1"/>
    <x v="2"/>
    <x v="1"/>
    <x v="2"/>
    <x v="2"/>
    <x v="1"/>
    <x v="0"/>
  </r>
  <r>
    <n v="12205"/>
    <x v="1"/>
    <x v="0"/>
    <n v="130000"/>
    <x v="4"/>
    <x v="0"/>
    <s v="Management"/>
    <x v="1"/>
    <x v="3"/>
    <x v="0"/>
    <x v="2"/>
    <x v="41"/>
    <x v="1"/>
    <x v="0"/>
  </r>
  <r>
    <n v="16751"/>
    <x v="0"/>
    <x v="1"/>
    <n v="60000"/>
    <x v="3"/>
    <x v="1"/>
    <s v="Skilled Manual"/>
    <x v="0"/>
    <x v="1"/>
    <x v="2"/>
    <x v="2"/>
    <x v="21"/>
    <x v="0"/>
    <x v="1"/>
  </r>
  <r>
    <n v="21613"/>
    <x v="1"/>
    <x v="1"/>
    <n v="50000"/>
    <x v="4"/>
    <x v="0"/>
    <s v="Skilled Manual"/>
    <x v="1"/>
    <x v="1"/>
    <x v="0"/>
    <x v="2"/>
    <x v="32"/>
    <x v="0"/>
    <x v="1"/>
  </r>
  <r>
    <n v="24801"/>
    <x v="1"/>
    <x v="1"/>
    <n v="60000"/>
    <x v="0"/>
    <x v="4"/>
    <s v="Professional"/>
    <x v="0"/>
    <x v="0"/>
    <x v="1"/>
    <x v="2"/>
    <x v="11"/>
    <x v="0"/>
    <x v="1"/>
  </r>
  <r>
    <n v="17519"/>
    <x v="0"/>
    <x v="0"/>
    <n v="60000"/>
    <x v="3"/>
    <x v="1"/>
    <s v="Professional"/>
    <x v="0"/>
    <x v="2"/>
    <x v="2"/>
    <x v="2"/>
    <x v="21"/>
    <x v="0"/>
    <x v="0"/>
  </r>
  <r>
    <n v="18347"/>
    <x v="1"/>
    <x v="0"/>
    <n v="30000"/>
    <x v="3"/>
    <x v="1"/>
    <s v="Skilled Manual"/>
    <x v="1"/>
    <x v="1"/>
    <x v="3"/>
    <x v="2"/>
    <x v="23"/>
    <x v="0"/>
    <x v="0"/>
  </r>
  <r>
    <n v="29052"/>
    <x v="1"/>
    <x v="1"/>
    <n v="40000"/>
    <x v="3"/>
    <x v="1"/>
    <s v="Skilled Manual"/>
    <x v="0"/>
    <x v="1"/>
    <x v="2"/>
    <x v="2"/>
    <x v="40"/>
    <x v="2"/>
    <x v="0"/>
  </r>
  <r>
    <n v="11745"/>
    <x v="0"/>
    <x v="0"/>
    <n v="60000"/>
    <x v="0"/>
    <x v="0"/>
    <s v="Professional"/>
    <x v="0"/>
    <x v="1"/>
    <x v="0"/>
    <x v="2"/>
    <x v="15"/>
    <x v="0"/>
    <x v="1"/>
  </r>
  <r>
    <n v="19147"/>
    <x v="0"/>
    <x v="1"/>
    <n v="40000"/>
    <x v="3"/>
    <x v="0"/>
    <s v="Professional"/>
    <x v="1"/>
    <x v="1"/>
    <x v="0"/>
    <x v="2"/>
    <x v="0"/>
    <x v="0"/>
    <x v="0"/>
  </r>
  <r>
    <n v="19217"/>
    <x v="0"/>
    <x v="1"/>
    <n v="30000"/>
    <x v="4"/>
    <x v="2"/>
    <s v="Skilled Manual"/>
    <x v="0"/>
    <x v="2"/>
    <x v="3"/>
    <x v="2"/>
    <x v="38"/>
    <x v="0"/>
    <x v="0"/>
  </r>
  <r>
    <n v="15839"/>
    <x v="1"/>
    <x v="1"/>
    <n v="30000"/>
    <x v="3"/>
    <x v="1"/>
    <s v="Skilled Manual"/>
    <x v="0"/>
    <x v="1"/>
    <x v="2"/>
    <x v="2"/>
    <x v="21"/>
    <x v="0"/>
    <x v="0"/>
  </r>
  <r>
    <n v="13714"/>
    <x v="0"/>
    <x v="0"/>
    <n v="20000"/>
    <x v="4"/>
    <x v="2"/>
    <s v="Manual"/>
    <x v="1"/>
    <x v="2"/>
    <x v="3"/>
    <x v="2"/>
    <x v="39"/>
    <x v="0"/>
    <x v="1"/>
  </r>
  <r>
    <n v="22330"/>
    <x v="0"/>
    <x v="1"/>
    <n v="50000"/>
    <x v="3"/>
    <x v="4"/>
    <s v="Skilled Manual"/>
    <x v="0"/>
    <x v="0"/>
    <x v="3"/>
    <x v="2"/>
    <x v="21"/>
    <x v="0"/>
    <x v="1"/>
  </r>
  <r>
    <n v="18783"/>
    <x v="1"/>
    <x v="1"/>
    <n v="80000"/>
    <x v="3"/>
    <x v="0"/>
    <s v="Management"/>
    <x v="1"/>
    <x v="1"/>
    <x v="0"/>
    <x v="2"/>
    <x v="13"/>
    <x v="0"/>
    <x v="1"/>
  </r>
  <r>
    <n v="25041"/>
    <x v="1"/>
    <x v="1"/>
    <n v="40000"/>
    <x v="3"/>
    <x v="2"/>
    <s v="Skilled Manual"/>
    <x v="0"/>
    <x v="2"/>
    <x v="2"/>
    <x v="2"/>
    <x v="23"/>
    <x v="0"/>
    <x v="0"/>
  </r>
  <r>
    <n v="22046"/>
    <x v="1"/>
    <x v="0"/>
    <n v="80000"/>
    <x v="3"/>
    <x v="0"/>
    <s v="Management"/>
    <x v="1"/>
    <x v="1"/>
    <x v="0"/>
    <x v="2"/>
    <x v="13"/>
    <x v="0"/>
    <x v="1"/>
  </r>
  <r>
    <n v="28052"/>
    <x v="0"/>
    <x v="1"/>
    <n v="60000"/>
    <x v="4"/>
    <x v="2"/>
    <s v="Professional"/>
    <x v="0"/>
    <x v="2"/>
    <x v="4"/>
    <x v="2"/>
    <x v="10"/>
    <x v="1"/>
    <x v="0"/>
  </r>
  <r>
    <n v="26693"/>
    <x v="0"/>
    <x v="1"/>
    <n v="70000"/>
    <x v="1"/>
    <x v="1"/>
    <s v="Professional"/>
    <x v="0"/>
    <x v="1"/>
    <x v="2"/>
    <x v="2"/>
    <x v="38"/>
    <x v="0"/>
    <x v="0"/>
  </r>
  <r>
    <n v="24955"/>
    <x v="1"/>
    <x v="1"/>
    <n v="30000"/>
    <x v="2"/>
    <x v="3"/>
    <s v="Skilled Manual"/>
    <x v="0"/>
    <x v="4"/>
    <x v="4"/>
    <x v="2"/>
    <x v="2"/>
    <x v="1"/>
    <x v="1"/>
  </r>
  <r>
    <n v="26065"/>
    <x v="1"/>
    <x v="0"/>
    <n v="110000"/>
    <x v="1"/>
    <x v="0"/>
    <s v="Management"/>
    <x v="1"/>
    <x v="3"/>
    <x v="3"/>
    <x v="2"/>
    <x v="0"/>
    <x v="0"/>
    <x v="0"/>
  </r>
  <r>
    <n v="13942"/>
    <x v="0"/>
    <x v="1"/>
    <n v="60000"/>
    <x v="0"/>
    <x v="1"/>
    <s v="Skilled Manual"/>
    <x v="0"/>
    <x v="1"/>
    <x v="0"/>
    <x v="2"/>
    <x v="30"/>
    <x v="0"/>
    <x v="0"/>
  </r>
  <r>
    <n v="11219"/>
    <x v="0"/>
    <x v="1"/>
    <n v="60000"/>
    <x v="4"/>
    <x v="2"/>
    <s v="Professional"/>
    <x v="0"/>
    <x v="2"/>
    <x v="4"/>
    <x v="2"/>
    <x v="10"/>
    <x v="1"/>
    <x v="0"/>
  </r>
  <r>
    <n v="22118"/>
    <x v="1"/>
    <x v="0"/>
    <n v="70000"/>
    <x v="1"/>
    <x v="4"/>
    <s v="Management"/>
    <x v="0"/>
    <x v="2"/>
    <x v="2"/>
    <x v="2"/>
    <x v="39"/>
    <x v="0"/>
    <x v="1"/>
  </r>
  <r>
    <n v="23197"/>
    <x v="0"/>
    <x v="1"/>
    <n v="50000"/>
    <x v="1"/>
    <x v="0"/>
    <s v="Skilled Manual"/>
    <x v="0"/>
    <x v="2"/>
    <x v="1"/>
    <x v="2"/>
    <x v="8"/>
    <x v="0"/>
    <x v="0"/>
  </r>
  <r>
    <n v="14883"/>
    <x v="0"/>
    <x v="0"/>
    <n v="30000"/>
    <x v="0"/>
    <x v="0"/>
    <s v="Skilled Manual"/>
    <x v="0"/>
    <x v="1"/>
    <x v="2"/>
    <x v="2"/>
    <x v="39"/>
    <x v="0"/>
    <x v="1"/>
  </r>
  <r>
    <n v="27279"/>
    <x v="1"/>
    <x v="0"/>
    <n v="70000"/>
    <x v="4"/>
    <x v="0"/>
    <s v="Skilled Manual"/>
    <x v="0"/>
    <x v="0"/>
    <x v="1"/>
    <x v="2"/>
    <x v="13"/>
    <x v="0"/>
    <x v="1"/>
  </r>
  <r>
    <n v="18322"/>
    <x v="1"/>
    <x v="1"/>
    <n v="30000"/>
    <x v="3"/>
    <x v="3"/>
    <s v="Clerical"/>
    <x v="1"/>
    <x v="2"/>
    <x v="0"/>
    <x v="2"/>
    <x v="22"/>
    <x v="2"/>
    <x v="0"/>
  </r>
  <r>
    <n v="15879"/>
    <x v="0"/>
    <x v="1"/>
    <n v="70000"/>
    <x v="2"/>
    <x v="0"/>
    <s v="Management"/>
    <x v="0"/>
    <x v="2"/>
    <x v="1"/>
    <x v="2"/>
    <x v="33"/>
    <x v="1"/>
    <x v="0"/>
  </r>
  <r>
    <n v="28278"/>
    <x v="0"/>
    <x v="1"/>
    <n v="50000"/>
    <x v="4"/>
    <x v="4"/>
    <s v="Management"/>
    <x v="0"/>
    <x v="2"/>
    <x v="2"/>
    <x v="2"/>
    <x v="51"/>
    <x v="1"/>
    <x v="0"/>
  </r>
  <r>
    <n v="24416"/>
    <x v="0"/>
    <x v="1"/>
    <n v="90000"/>
    <x v="5"/>
    <x v="2"/>
    <s v="Professional"/>
    <x v="0"/>
    <x v="2"/>
    <x v="3"/>
    <x v="2"/>
    <x v="12"/>
    <x v="0"/>
    <x v="0"/>
  </r>
  <r>
    <n v="28066"/>
    <x v="0"/>
    <x v="1"/>
    <n v="80000"/>
    <x v="4"/>
    <x v="4"/>
    <s v="Professional"/>
    <x v="0"/>
    <x v="0"/>
    <x v="0"/>
    <x v="2"/>
    <x v="34"/>
    <x v="0"/>
    <x v="1"/>
  </r>
  <r>
    <n v="11275"/>
    <x v="0"/>
    <x v="0"/>
    <n v="80000"/>
    <x v="5"/>
    <x v="4"/>
    <s v="Management"/>
    <x v="0"/>
    <x v="2"/>
    <x v="0"/>
    <x v="2"/>
    <x v="52"/>
    <x v="1"/>
    <x v="1"/>
  </r>
  <r>
    <n v="14872"/>
    <x v="0"/>
    <x v="1"/>
    <n v="30000"/>
    <x v="3"/>
    <x v="4"/>
    <s v="Skilled Manual"/>
    <x v="0"/>
    <x v="0"/>
    <x v="0"/>
    <x v="2"/>
    <x v="21"/>
    <x v="0"/>
    <x v="0"/>
  </r>
  <r>
    <n v="16151"/>
    <x v="0"/>
    <x v="0"/>
    <n v="60000"/>
    <x v="0"/>
    <x v="0"/>
    <s v="Professional"/>
    <x v="0"/>
    <x v="1"/>
    <x v="1"/>
    <x v="2"/>
    <x v="28"/>
    <x v="0"/>
    <x v="1"/>
  </r>
  <r>
    <n v="19731"/>
    <x v="0"/>
    <x v="1"/>
    <n v="80000"/>
    <x v="5"/>
    <x v="4"/>
    <s v="Management"/>
    <x v="0"/>
    <x v="2"/>
    <x v="2"/>
    <x v="2"/>
    <x v="35"/>
    <x v="1"/>
    <x v="0"/>
  </r>
  <r>
    <n v="23801"/>
    <x v="0"/>
    <x v="0"/>
    <n v="20000"/>
    <x v="4"/>
    <x v="3"/>
    <s v="Clerical"/>
    <x v="0"/>
    <x v="2"/>
    <x v="0"/>
    <x v="2"/>
    <x v="38"/>
    <x v="0"/>
    <x v="0"/>
  </r>
  <r>
    <n v="11807"/>
    <x v="0"/>
    <x v="1"/>
    <n v="70000"/>
    <x v="1"/>
    <x v="4"/>
    <s v="Professional"/>
    <x v="0"/>
    <x v="0"/>
    <x v="1"/>
    <x v="2"/>
    <x v="17"/>
    <x v="0"/>
    <x v="0"/>
  </r>
  <r>
    <n v="11622"/>
    <x v="0"/>
    <x v="1"/>
    <n v="50000"/>
    <x v="3"/>
    <x v="4"/>
    <s v="Skilled Manual"/>
    <x v="0"/>
    <x v="0"/>
    <x v="0"/>
    <x v="2"/>
    <x v="21"/>
    <x v="0"/>
    <x v="0"/>
  </r>
  <r>
    <n v="26597"/>
    <x v="1"/>
    <x v="0"/>
    <n v="60000"/>
    <x v="5"/>
    <x v="0"/>
    <s v="Skilled Manual"/>
    <x v="1"/>
    <x v="2"/>
    <x v="0"/>
    <x v="2"/>
    <x v="0"/>
    <x v="0"/>
    <x v="0"/>
  </r>
  <r>
    <n v="27074"/>
    <x v="0"/>
    <x v="0"/>
    <n v="70000"/>
    <x v="0"/>
    <x v="4"/>
    <s v="Skilled Manual"/>
    <x v="0"/>
    <x v="0"/>
    <x v="0"/>
    <x v="2"/>
    <x v="11"/>
    <x v="0"/>
    <x v="1"/>
  </r>
  <r>
    <n v="19228"/>
    <x v="0"/>
    <x v="0"/>
    <n v="40000"/>
    <x v="4"/>
    <x v="1"/>
    <s v="Clerical"/>
    <x v="0"/>
    <x v="1"/>
    <x v="0"/>
    <x v="2"/>
    <x v="28"/>
    <x v="0"/>
    <x v="0"/>
  </r>
  <r>
    <n v="13415"/>
    <x v="1"/>
    <x v="1"/>
    <n v="100000"/>
    <x v="0"/>
    <x v="4"/>
    <s v="Management"/>
    <x v="0"/>
    <x v="4"/>
    <x v="1"/>
    <x v="2"/>
    <x v="49"/>
    <x v="1"/>
    <x v="1"/>
  </r>
  <r>
    <n v="17000"/>
    <x v="1"/>
    <x v="0"/>
    <n v="70000"/>
    <x v="5"/>
    <x v="0"/>
    <s v="Skilled Manual"/>
    <x v="0"/>
    <x v="2"/>
    <x v="1"/>
    <x v="2"/>
    <x v="1"/>
    <x v="0"/>
    <x v="1"/>
  </r>
  <r>
    <n v="14569"/>
    <x v="0"/>
    <x v="1"/>
    <n v="60000"/>
    <x v="0"/>
    <x v="4"/>
    <s v="Professional"/>
    <x v="0"/>
    <x v="0"/>
    <x v="0"/>
    <x v="2"/>
    <x v="11"/>
    <x v="0"/>
    <x v="0"/>
  </r>
  <r>
    <n v="13873"/>
    <x v="0"/>
    <x v="1"/>
    <n v="70000"/>
    <x v="1"/>
    <x v="4"/>
    <s v="Professional"/>
    <x v="0"/>
    <x v="0"/>
    <x v="0"/>
    <x v="2"/>
    <x v="11"/>
    <x v="0"/>
    <x v="1"/>
  </r>
  <r>
    <n v="20401"/>
    <x v="0"/>
    <x v="0"/>
    <n v="50000"/>
    <x v="5"/>
    <x v="0"/>
    <s v="Management"/>
    <x v="0"/>
    <x v="2"/>
    <x v="3"/>
    <x v="2"/>
    <x v="46"/>
    <x v="1"/>
    <x v="1"/>
  </r>
  <r>
    <n v="21583"/>
    <x v="0"/>
    <x v="0"/>
    <n v="50000"/>
    <x v="0"/>
    <x v="0"/>
    <s v="Skilled Manual"/>
    <x v="0"/>
    <x v="0"/>
    <x v="0"/>
    <x v="2"/>
    <x v="17"/>
    <x v="0"/>
    <x v="1"/>
  </r>
  <r>
    <n v="12029"/>
    <x v="0"/>
    <x v="1"/>
    <n v="30000"/>
    <x v="3"/>
    <x v="3"/>
    <s v="Clerical"/>
    <x v="1"/>
    <x v="2"/>
    <x v="0"/>
    <x v="2"/>
    <x v="26"/>
    <x v="2"/>
    <x v="0"/>
  </r>
  <r>
    <n v="18066"/>
    <x v="1"/>
    <x v="1"/>
    <n v="70000"/>
    <x v="2"/>
    <x v="0"/>
    <s v="Management"/>
    <x v="0"/>
    <x v="4"/>
    <x v="4"/>
    <x v="2"/>
    <x v="2"/>
    <x v="1"/>
    <x v="1"/>
  </r>
  <r>
    <n v="28192"/>
    <x v="0"/>
    <x v="0"/>
    <n v="70000"/>
    <x v="2"/>
    <x v="4"/>
    <s v="Professional"/>
    <x v="0"/>
    <x v="4"/>
    <x v="4"/>
    <x v="2"/>
    <x v="30"/>
    <x v="0"/>
    <x v="0"/>
  </r>
  <r>
    <n v="16122"/>
    <x v="0"/>
    <x v="1"/>
    <n v="40000"/>
    <x v="5"/>
    <x v="2"/>
    <s v="Skilled Manual"/>
    <x v="0"/>
    <x v="2"/>
    <x v="0"/>
    <x v="2"/>
    <x v="20"/>
    <x v="0"/>
    <x v="1"/>
  </r>
  <r>
    <n v="18607"/>
    <x v="1"/>
    <x v="0"/>
    <n v="60000"/>
    <x v="5"/>
    <x v="0"/>
    <s v="Skilled Manual"/>
    <x v="0"/>
    <x v="2"/>
    <x v="1"/>
    <x v="2"/>
    <x v="0"/>
    <x v="0"/>
    <x v="1"/>
  </r>
  <r>
    <n v="28858"/>
    <x v="1"/>
    <x v="1"/>
    <n v="80000"/>
    <x v="1"/>
    <x v="0"/>
    <s v="Skilled Manual"/>
    <x v="0"/>
    <x v="0"/>
    <x v="1"/>
    <x v="2"/>
    <x v="8"/>
    <x v="0"/>
    <x v="0"/>
  </r>
  <r>
    <n v="14432"/>
    <x v="1"/>
    <x v="1"/>
    <n v="90000"/>
    <x v="5"/>
    <x v="4"/>
    <s v="Management"/>
    <x v="0"/>
    <x v="1"/>
    <x v="2"/>
    <x v="2"/>
    <x v="49"/>
    <x v="1"/>
    <x v="0"/>
  </r>
  <r>
    <n v="26305"/>
    <x v="1"/>
    <x v="0"/>
    <n v="60000"/>
    <x v="4"/>
    <x v="0"/>
    <s v="Skilled Manual"/>
    <x v="1"/>
    <x v="0"/>
    <x v="0"/>
    <x v="2"/>
    <x v="4"/>
    <x v="0"/>
    <x v="1"/>
  </r>
  <r>
    <n v="22050"/>
    <x v="1"/>
    <x v="1"/>
    <n v="90000"/>
    <x v="5"/>
    <x v="0"/>
    <s v="Management"/>
    <x v="0"/>
    <x v="1"/>
    <x v="3"/>
    <x v="2"/>
    <x v="13"/>
    <x v="0"/>
    <x v="1"/>
  </r>
  <r>
    <n v="25394"/>
    <x v="0"/>
    <x v="1"/>
    <n v="60000"/>
    <x v="0"/>
    <x v="4"/>
    <s v="Professional"/>
    <x v="0"/>
    <x v="0"/>
    <x v="1"/>
    <x v="2"/>
    <x v="17"/>
    <x v="0"/>
    <x v="1"/>
  </r>
  <r>
    <n v="19747"/>
    <x v="0"/>
    <x v="1"/>
    <n v="50000"/>
    <x v="5"/>
    <x v="0"/>
    <s v="Management"/>
    <x v="0"/>
    <x v="2"/>
    <x v="4"/>
    <x v="2"/>
    <x v="18"/>
    <x v="1"/>
    <x v="0"/>
  </r>
  <r>
    <n v="23195"/>
    <x v="1"/>
    <x v="1"/>
    <n v="50000"/>
    <x v="1"/>
    <x v="0"/>
    <s v="Skilled Manual"/>
    <x v="0"/>
    <x v="2"/>
    <x v="1"/>
    <x v="2"/>
    <x v="3"/>
    <x v="0"/>
    <x v="1"/>
  </r>
  <r>
    <n v="21695"/>
    <x v="0"/>
    <x v="1"/>
    <n v="60000"/>
    <x v="3"/>
    <x v="4"/>
    <s v="Skilled Manual"/>
    <x v="0"/>
    <x v="0"/>
    <x v="3"/>
    <x v="2"/>
    <x v="32"/>
    <x v="0"/>
    <x v="1"/>
  </r>
  <r>
    <n v="13934"/>
    <x v="0"/>
    <x v="1"/>
    <n v="40000"/>
    <x v="5"/>
    <x v="2"/>
    <s v="Skilled Manual"/>
    <x v="0"/>
    <x v="2"/>
    <x v="1"/>
    <x v="2"/>
    <x v="30"/>
    <x v="0"/>
    <x v="0"/>
  </r>
  <r>
    <n v="13337"/>
    <x v="0"/>
    <x v="0"/>
    <n v="80000"/>
    <x v="2"/>
    <x v="0"/>
    <s v="Management"/>
    <x v="0"/>
    <x v="2"/>
    <x v="2"/>
    <x v="2"/>
    <x v="46"/>
    <x v="1"/>
    <x v="0"/>
  </r>
  <r>
    <n v="27190"/>
    <x v="0"/>
    <x v="0"/>
    <n v="40000"/>
    <x v="1"/>
    <x v="1"/>
    <s v="Clerical"/>
    <x v="0"/>
    <x v="1"/>
    <x v="3"/>
    <x v="2"/>
    <x v="21"/>
    <x v="0"/>
    <x v="0"/>
  </r>
  <r>
    <n v="28657"/>
    <x v="1"/>
    <x v="1"/>
    <n v="60000"/>
    <x v="4"/>
    <x v="0"/>
    <s v="Skilled Manual"/>
    <x v="0"/>
    <x v="0"/>
    <x v="1"/>
    <x v="2"/>
    <x v="4"/>
    <x v="0"/>
    <x v="1"/>
  </r>
  <r>
    <n v="21713"/>
    <x v="1"/>
    <x v="1"/>
    <n v="80000"/>
    <x v="2"/>
    <x v="4"/>
    <s v="Skilled Manual"/>
    <x v="1"/>
    <x v="0"/>
    <x v="0"/>
    <x v="2"/>
    <x v="15"/>
    <x v="0"/>
    <x v="0"/>
  </r>
  <r>
    <n v="21752"/>
    <x v="0"/>
    <x v="1"/>
    <n v="60000"/>
    <x v="1"/>
    <x v="4"/>
    <s v="Management"/>
    <x v="0"/>
    <x v="2"/>
    <x v="4"/>
    <x v="2"/>
    <x v="46"/>
    <x v="1"/>
    <x v="0"/>
  </r>
  <r>
    <n v="27273"/>
    <x v="1"/>
    <x v="1"/>
    <n v="70000"/>
    <x v="1"/>
    <x v="4"/>
    <s v="Professional"/>
    <x v="1"/>
    <x v="0"/>
    <x v="0"/>
    <x v="2"/>
    <x v="11"/>
    <x v="0"/>
    <x v="1"/>
  </r>
  <r>
    <n v="22719"/>
    <x v="1"/>
    <x v="1"/>
    <n v="110000"/>
    <x v="1"/>
    <x v="0"/>
    <s v="Management"/>
    <x v="0"/>
    <x v="3"/>
    <x v="1"/>
    <x v="2"/>
    <x v="8"/>
    <x v="0"/>
    <x v="1"/>
  </r>
  <r>
    <n v="22042"/>
    <x v="0"/>
    <x v="0"/>
    <n v="70000"/>
    <x v="3"/>
    <x v="1"/>
    <s v="Skilled Manual"/>
    <x v="0"/>
    <x v="2"/>
    <x v="2"/>
    <x v="2"/>
    <x v="17"/>
    <x v="0"/>
    <x v="1"/>
  </r>
  <r>
    <n v="21451"/>
    <x v="0"/>
    <x v="0"/>
    <n v="40000"/>
    <x v="5"/>
    <x v="2"/>
    <s v="Professional"/>
    <x v="0"/>
    <x v="2"/>
    <x v="4"/>
    <x v="2"/>
    <x v="33"/>
    <x v="1"/>
    <x v="0"/>
  </r>
  <r>
    <n v="20754"/>
    <x v="0"/>
    <x v="1"/>
    <n v="30000"/>
    <x v="4"/>
    <x v="2"/>
    <s v="Skilled Manual"/>
    <x v="0"/>
    <x v="2"/>
    <x v="3"/>
    <x v="2"/>
    <x v="36"/>
    <x v="0"/>
    <x v="0"/>
  </r>
  <r>
    <n v="12153"/>
    <x v="1"/>
    <x v="0"/>
    <n v="70000"/>
    <x v="1"/>
    <x v="1"/>
    <s v="Professional"/>
    <x v="0"/>
    <x v="1"/>
    <x v="2"/>
    <x v="2"/>
    <x v="38"/>
    <x v="0"/>
    <x v="1"/>
  </r>
  <r>
    <n v="16895"/>
    <x v="0"/>
    <x v="0"/>
    <n v="40000"/>
    <x v="1"/>
    <x v="1"/>
    <s v="Professional"/>
    <x v="1"/>
    <x v="2"/>
    <x v="3"/>
    <x v="2"/>
    <x v="9"/>
    <x v="0"/>
    <x v="1"/>
  </r>
  <r>
    <n v="26728"/>
    <x v="1"/>
    <x v="1"/>
    <n v="70000"/>
    <x v="1"/>
    <x v="4"/>
    <s v="Management"/>
    <x v="1"/>
    <x v="2"/>
    <x v="3"/>
    <x v="2"/>
    <x v="39"/>
    <x v="0"/>
    <x v="1"/>
  </r>
  <r>
    <n v="11090"/>
    <x v="1"/>
    <x v="1"/>
    <n v="90000"/>
    <x v="4"/>
    <x v="1"/>
    <s v="Professional"/>
    <x v="0"/>
    <x v="1"/>
    <x v="1"/>
    <x v="2"/>
    <x v="28"/>
    <x v="0"/>
    <x v="1"/>
  </r>
  <r>
    <n v="15862"/>
    <x v="1"/>
    <x v="0"/>
    <n v="50000"/>
    <x v="3"/>
    <x v="4"/>
    <s v="Skilled Manual"/>
    <x v="0"/>
    <x v="0"/>
    <x v="3"/>
    <x v="2"/>
    <x v="6"/>
    <x v="0"/>
    <x v="1"/>
  </r>
  <r>
    <n v="26495"/>
    <x v="1"/>
    <x v="0"/>
    <n v="40000"/>
    <x v="4"/>
    <x v="2"/>
    <s v="Professional"/>
    <x v="0"/>
    <x v="2"/>
    <x v="4"/>
    <x v="2"/>
    <x v="42"/>
    <x v="1"/>
    <x v="0"/>
  </r>
  <r>
    <n v="11823"/>
    <x v="0"/>
    <x v="0"/>
    <n v="70000"/>
    <x v="3"/>
    <x v="4"/>
    <s v="Professional"/>
    <x v="0"/>
    <x v="0"/>
    <x v="1"/>
    <x v="2"/>
    <x v="32"/>
    <x v="0"/>
    <x v="0"/>
  </r>
  <r>
    <n v="23449"/>
    <x v="0"/>
    <x v="1"/>
    <n v="60000"/>
    <x v="4"/>
    <x v="2"/>
    <s v="Professional"/>
    <x v="0"/>
    <x v="2"/>
    <x v="2"/>
    <x v="2"/>
    <x v="28"/>
    <x v="0"/>
    <x v="0"/>
  </r>
  <r>
    <n v="23459"/>
    <x v="0"/>
    <x v="1"/>
    <n v="60000"/>
    <x v="4"/>
    <x v="2"/>
    <s v="Professional"/>
    <x v="0"/>
    <x v="2"/>
    <x v="2"/>
    <x v="2"/>
    <x v="5"/>
    <x v="0"/>
    <x v="0"/>
  </r>
  <r>
    <n v="19543"/>
    <x v="0"/>
    <x v="1"/>
    <n v="70000"/>
    <x v="2"/>
    <x v="4"/>
    <s v="Professional"/>
    <x v="1"/>
    <x v="4"/>
    <x v="4"/>
    <x v="2"/>
    <x v="15"/>
    <x v="0"/>
    <x v="0"/>
  </r>
  <r>
    <n v="14914"/>
    <x v="0"/>
    <x v="0"/>
    <n v="40000"/>
    <x v="0"/>
    <x v="1"/>
    <s v="Clerical"/>
    <x v="0"/>
    <x v="1"/>
    <x v="3"/>
    <x v="2"/>
    <x v="38"/>
    <x v="0"/>
    <x v="1"/>
  </r>
  <r>
    <n v="12033"/>
    <x v="1"/>
    <x v="0"/>
    <n v="40000"/>
    <x v="3"/>
    <x v="2"/>
    <s v="Skilled Manual"/>
    <x v="1"/>
    <x v="2"/>
    <x v="0"/>
    <x v="2"/>
    <x v="40"/>
    <x v="2"/>
    <x v="1"/>
  </r>
  <r>
    <n v="11941"/>
    <x v="1"/>
    <x v="1"/>
    <n v="60000"/>
    <x v="3"/>
    <x v="1"/>
    <s v="Skilled Manual"/>
    <x v="0"/>
    <x v="0"/>
    <x v="2"/>
    <x v="2"/>
    <x v="19"/>
    <x v="2"/>
    <x v="0"/>
  </r>
  <r>
    <n v="14389"/>
    <x v="0"/>
    <x v="1"/>
    <n v="60000"/>
    <x v="4"/>
    <x v="0"/>
    <s v="Management"/>
    <x v="0"/>
    <x v="0"/>
    <x v="1"/>
    <x v="2"/>
    <x v="14"/>
    <x v="1"/>
    <x v="0"/>
  </r>
  <r>
    <n v="18050"/>
    <x v="0"/>
    <x v="0"/>
    <n v="60000"/>
    <x v="0"/>
    <x v="1"/>
    <s v="Skilled Manual"/>
    <x v="0"/>
    <x v="1"/>
    <x v="0"/>
    <x v="2"/>
    <x v="12"/>
    <x v="0"/>
    <x v="1"/>
  </r>
  <r>
    <n v="19856"/>
    <x v="0"/>
    <x v="0"/>
    <n v="60000"/>
    <x v="5"/>
    <x v="0"/>
    <s v="Management"/>
    <x v="0"/>
    <x v="2"/>
    <x v="1"/>
    <x v="2"/>
    <x v="2"/>
    <x v="1"/>
    <x v="0"/>
  </r>
  <r>
    <n v="11663"/>
    <x v="0"/>
    <x v="1"/>
    <n v="70000"/>
    <x v="5"/>
    <x v="4"/>
    <s v="Professional"/>
    <x v="0"/>
    <x v="0"/>
    <x v="0"/>
    <x v="2"/>
    <x v="4"/>
    <x v="0"/>
    <x v="1"/>
  </r>
  <r>
    <n v="27740"/>
    <x v="0"/>
    <x v="0"/>
    <n v="40000"/>
    <x v="3"/>
    <x v="2"/>
    <s v="Skilled Manual"/>
    <x v="0"/>
    <x v="2"/>
    <x v="2"/>
    <x v="2"/>
    <x v="40"/>
    <x v="2"/>
    <x v="0"/>
  </r>
  <r>
    <n v="23455"/>
    <x v="1"/>
    <x v="1"/>
    <n v="80000"/>
    <x v="4"/>
    <x v="3"/>
    <s v="Skilled Manual"/>
    <x v="1"/>
    <x v="2"/>
    <x v="3"/>
    <x v="2"/>
    <x v="5"/>
    <x v="0"/>
    <x v="0"/>
  </r>
  <r>
    <n v="15292"/>
    <x v="1"/>
    <x v="0"/>
    <n v="60000"/>
    <x v="0"/>
    <x v="4"/>
    <s v="Skilled Manual"/>
    <x v="0"/>
    <x v="0"/>
    <x v="3"/>
    <x v="2"/>
    <x v="11"/>
    <x v="0"/>
    <x v="0"/>
  </r>
  <r>
    <n v="21587"/>
    <x v="0"/>
    <x v="0"/>
    <n v="60000"/>
    <x v="0"/>
    <x v="4"/>
    <s v="Skilled Manual"/>
    <x v="0"/>
    <x v="0"/>
    <x v="1"/>
    <x v="2"/>
    <x v="17"/>
    <x v="0"/>
    <x v="1"/>
  </r>
  <r>
    <n v="23513"/>
    <x v="0"/>
    <x v="0"/>
    <n v="40000"/>
    <x v="1"/>
    <x v="1"/>
    <s v="Professional"/>
    <x v="0"/>
    <x v="2"/>
    <x v="2"/>
    <x v="2"/>
    <x v="9"/>
    <x v="0"/>
    <x v="0"/>
  </r>
  <r>
    <n v="24322"/>
    <x v="0"/>
    <x v="0"/>
    <n v="60000"/>
    <x v="5"/>
    <x v="0"/>
    <s v="Skilled Manual"/>
    <x v="1"/>
    <x v="2"/>
    <x v="0"/>
    <x v="2"/>
    <x v="0"/>
    <x v="0"/>
    <x v="0"/>
  </r>
  <r>
    <n v="26298"/>
    <x v="0"/>
    <x v="0"/>
    <n v="50000"/>
    <x v="0"/>
    <x v="0"/>
    <s v="Skilled Manual"/>
    <x v="0"/>
    <x v="0"/>
    <x v="1"/>
    <x v="2"/>
    <x v="17"/>
    <x v="0"/>
    <x v="1"/>
  </r>
  <r>
    <n v="25419"/>
    <x v="1"/>
    <x v="1"/>
    <n v="50000"/>
    <x v="4"/>
    <x v="0"/>
    <s v="Skilled Manual"/>
    <x v="1"/>
    <x v="1"/>
    <x v="0"/>
    <x v="2"/>
    <x v="13"/>
    <x v="0"/>
    <x v="1"/>
  </r>
  <r>
    <n v="13343"/>
    <x v="0"/>
    <x v="0"/>
    <n v="90000"/>
    <x v="2"/>
    <x v="0"/>
    <s v="Management"/>
    <x v="0"/>
    <x v="2"/>
    <x v="3"/>
    <x v="2"/>
    <x v="18"/>
    <x v="1"/>
    <x v="1"/>
  </r>
  <r>
    <n v="11303"/>
    <x v="1"/>
    <x v="0"/>
    <n v="90000"/>
    <x v="5"/>
    <x v="2"/>
    <s v="Professional"/>
    <x v="1"/>
    <x v="4"/>
    <x v="3"/>
    <x v="2"/>
    <x v="12"/>
    <x v="0"/>
    <x v="1"/>
  </r>
  <r>
    <n v="21693"/>
    <x v="1"/>
    <x v="0"/>
    <n v="60000"/>
    <x v="3"/>
    <x v="4"/>
    <s v="Skilled Manual"/>
    <x v="1"/>
    <x v="0"/>
    <x v="0"/>
    <x v="2"/>
    <x v="8"/>
    <x v="0"/>
    <x v="0"/>
  </r>
  <r>
    <n v="28056"/>
    <x v="0"/>
    <x v="1"/>
    <n v="70000"/>
    <x v="4"/>
    <x v="3"/>
    <s v="Skilled Manual"/>
    <x v="0"/>
    <x v="2"/>
    <x v="4"/>
    <x v="2"/>
    <x v="39"/>
    <x v="0"/>
    <x v="0"/>
  </r>
  <r>
    <n v="11788"/>
    <x v="1"/>
    <x v="0"/>
    <n v="70000"/>
    <x v="0"/>
    <x v="4"/>
    <s v="Professional"/>
    <x v="0"/>
    <x v="0"/>
    <x v="1"/>
    <x v="2"/>
    <x v="17"/>
    <x v="0"/>
    <x v="0"/>
  </r>
  <r>
    <n v="22296"/>
    <x v="0"/>
    <x v="1"/>
    <n v="70000"/>
    <x v="3"/>
    <x v="0"/>
    <s v="Professional"/>
    <x v="1"/>
    <x v="1"/>
    <x v="0"/>
    <x v="2"/>
    <x v="13"/>
    <x v="0"/>
    <x v="0"/>
  </r>
  <r>
    <n v="15319"/>
    <x v="0"/>
    <x v="0"/>
    <n v="70000"/>
    <x v="5"/>
    <x v="0"/>
    <s v="Management"/>
    <x v="1"/>
    <x v="1"/>
    <x v="3"/>
    <x v="2"/>
    <x v="14"/>
    <x v="1"/>
    <x v="0"/>
  </r>
  <r>
    <n v="17654"/>
    <x v="1"/>
    <x v="0"/>
    <n v="40000"/>
    <x v="1"/>
    <x v="1"/>
    <s v="Clerical"/>
    <x v="0"/>
    <x v="1"/>
    <x v="3"/>
    <x v="2"/>
    <x v="25"/>
    <x v="2"/>
    <x v="1"/>
  </r>
  <r>
    <n v="14662"/>
    <x v="0"/>
    <x v="1"/>
    <n v="60000"/>
    <x v="0"/>
    <x v="0"/>
    <s v="Professional"/>
    <x v="0"/>
    <x v="1"/>
    <x v="0"/>
    <x v="2"/>
    <x v="28"/>
    <x v="0"/>
    <x v="1"/>
  </r>
  <r>
    <n v="17541"/>
    <x v="0"/>
    <x v="0"/>
    <n v="40000"/>
    <x v="5"/>
    <x v="2"/>
    <s v="Skilled Manual"/>
    <x v="0"/>
    <x v="2"/>
    <x v="1"/>
    <x v="2"/>
    <x v="1"/>
    <x v="0"/>
    <x v="0"/>
  </r>
  <r>
    <n v="13886"/>
    <x v="0"/>
    <x v="0"/>
    <n v="70000"/>
    <x v="5"/>
    <x v="4"/>
    <s v="Professional"/>
    <x v="0"/>
    <x v="0"/>
    <x v="1"/>
    <x v="2"/>
    <x v="11"/>
    <x v="0"/>
    <x v="1"/>
  </r>
  <r>
    <n v="13073"/>
    <x v="0"/>
    <x v="0"/>
    <n v="60000"/>
    <x v="3"/>
    <x v="1"/>
    <s v="Professional"/>
    <x v="0"/>
    <x v="2"/>
    <x v="2"/>
    <x v="2"/>
    <x v="25"/>
    <x v="2"/>
    <x v="0"/>
  </r>
  <r>
    <n v="21940"/>
    <x v="0"/>
    <x v="1"/>
    <n v="90000"/>
    <x v="2"/>
    <x v="4"/>
    <s v="Professional"/>
    <x v="0"/>
    <x v="0"/>
    <x v="0"/>
    <x v="2"/>
    <x v="15"/>
    <x v="0"/>
    <x v="1"/>
  </r>
  <r>
    <n v="20196"/>
    <x v="0"/>
    <x v="1"/>
    <n v="60000"/>
    <x v="0"/>
    <x v="1"/>
    <s v="Skilled Manual"/>
    <x v="0"/>
    <x v="1"/>
    <x v="1"/>
    <x v="2"/>
    <x v="12"/>
    <x v="0"/>
    <x v="1"/>
  </r>
  <r>
    <n v="23491"/>
    <x v="1"/>
    <x v="1"/>
    <n v="100000"/>
    <x v="3"/>
    <x v="1"/>
    <s v="Professional"/>
    <x v="1"/>
    <x v="3"/>
    <x v="3"/>
    <x v="2"/>
    <x v="12"/>
    <x v="0"/>
    <x v="0"/>
  </r>
  <r>
    <n v="16651"/>
    <x v="0"/>
    <x v="0"/>
    <n v="120000"/>
    <x v="4"/>
    <x v="0"/>
    <s v="Management"/>
    <x v="0"/>
    <x v="4"/>
    <x v="2"/>
    <x v="2"/>
    <x v="24"/>
    <x v="1"/>
    <x v="0"/>
  </r>
  <r>
    <n v="16813"/>
    <x v="0"/>
    <x v="1"/>
    <n v="60000"/>
    <x v="4"/>
    <x v="1"/>
    <s v="Professional"/>
    <x v="0"/>
    <x v="2"/>
    <x v="4"/>
    <x v="2"/>
    <x v="10"/>
    <x v="1"/>
    <x v="0"/>
  </r>
  <r>
    <n v="16007"/>
    <x v="0"/>
    <x v="0"/>
    <n v="90000"/>
    <x v="2"/>
    <x v="0"/>
    <s v="Management"/>
    <x v="0"/>
    <x v="2"/>
    <x v="3"/>
    <x v="2"/>
    <x v="29"/>
    <x v="1"/>
    <x v="1"/>
  </r>
  <r>
    <n v="27434"/>
    <x v="1"/>
    <x v="1"/>
    <n v="70000"/>
    <x v="5"/>
    <x v="1"/>
    <s v="Professional"/>
    <x v="0"/>
    <x v="1"/>
    <x v="4"/>
    <x v="2"/>
    <x v="16"/>
    <x v="1"/>
    <x v="0"/>
  </r>
  <r>
    <n v="27756"/>
    <x v="1"/>
    <x v="0"/>
    <n v="50000"/>
    <x v="1"/>
    <x v="0"/>
    <s v="Skilled Manual"/>
    <x v="1"/>
    <x v="1"/>
    <x v="0"/>
    <x v="2"/>
    <x v="8"/>
    <x v="0"/>
    <x v="0"/>
  </r>
  <r>
    <n v="23818"/>
    <x v="0"/>
    <x v="0"/>
    <n v="50000"/>
    <x v="3"/>
    <x v="4"/>
    <s v="Skilled Manual"/>
    <x v="0"/>
    <x v="0"/>
    <x v="3"/>
    <x v="2"/>
    <x v="6"/>
    <x v="0"/>
    <x v="1"/>
  </r>
  <r>
    <n v="19012"/>
    <x v="0"/>
    <x v="1"/>
    <n v="80000"/>
    <x v="1"/>
    <x v="0"/>
    <s v="Management"/>
    <x v="0"/>
    <x v="1"/>
    <x v="3"/>
    <x v="2"/>
    <x v="16"/>
    <x v="1"/>
    <x v="0"/>
  </r>
  <r>
    <n v="18329"/>
    <x v="1"/>
    <x v="1"/>
    <n v="30000"/>
    <x v="3"/>
    <x v="3"/>
    <s v="Clerical"/>
    <x v="1"/>
    <x v="2"/>
    <x v="2"/>
    <x v="2"/>
    <x v="40"/>
    <x v="2"/>
    <x v="0"/>
  </r>
  <r>
    <n v="29037"/>
    <x v="0"/>
    <x v="1"/>
    <n v="60000"/>
    <x v="3"/>
    <x v="4"/>
    <s v="Professional"/>
    <x v="1"/>
    <x v="0"/>
    <x v="0"/>
    <x v="2"/>
    <x v="32"/>
    <x v="0"/>
    <x v="0"/>
  </r>
  <r>
    <n v="26576"/>
    <x v="0"/>
    <x v="0"/>
    <n v="60000"/>
    <x v="3"/>
    <x v="1"/>
    <s v="Skilled Manual"/>
    <x v="0"/>
    <x v="2"/>
    <x v="2"/>
    <x v="2"/>
    <x v="23"/>
    <x v="0"/>
    <x v="0"/>
  </r>
  <r>
    <n v="12192"/>
    <x v="1"/>
    <x v="0"/>
    <n v="60000"/>
    <x v="4"/>
    <x v="3"/>
    <s v="Skilled Manual"/>
    <x v="1"/>
    <x v="2"/>
    <x v="3"/>
    <x v="2"/>
    <x v="36"/>
    <x v="0"/>
    <x v="0"/>
  </r>
  <r>
    <n v="14887"/>
    <x v="0"/>
    <x v="0"/>
    <n v="30000"/>
    <x v="0"/>
    <x v="2"/>
    <s v="Clerical"/>
    <x v="0"/>
    <x v="1"/>
    <x v="2"/>
    <x v="2"/>
    <x v="31"/>
    <x v="0"/>
    <x v="0"/>
  </r>
  <r>
    <n v="11734"/>
    <x v="0"/>
    <x v="1"/>
    <n v="60000"/>
    <x v="0"/>
    <x v="1"/>
    <s v="Skilled Manual"/>
    <x v="1"/>
    <x v="1"/>
    <x v="0"/>
    <x v="2"/>
    <x v="15"/>
    <x v="0"/>
    <x v="0"/>
  </r>
  <r>
    <n v="17462"/>
    <x v="0"/>
    <x v="1"/>
    <n v="70000"/>
    <x v="1"/>
    <x v="4"/>
    <s v="Management"/>
    <x v="0"/>
    <x v="2"/>
    <x v="2"/>
    <x v="2"/>
    <x v="39"/>
    <x v="0"/>
    <x v="1"/>
  </r>
  <r>
    <n v="20659"/>
    <x v="0"/>
    <x v="1"/>
    <n v="70000"/>
    <x v="1"/>
    <x v="4"/>
    <s v="Professional"/>
    <x v="0"/>
    <x v="0"/>
    <x v="0"/>
    <x v="2"/>
    <x v="11"/>
    <x v="0"/>
    <x v="1"/>
  </r>
  <r>
    <n v="28004"/>
    <x v="0"/>
    <x v="0"/>
    <n v="60000"/>
    <x v="1"/>
    <x v="0"/>
    <s v="Management"/>
    <x v="0"/>
    <x v="2"/>
    <x v="4"/>
    <x v="2"/>
    <x v="29"/>
    <x v="1"/>
    <x v="0"/>
  </r>
  <r>
    <n v="19741"/>
    <x v="1"/>
    <x v="0"/>
    <n v="80000"/>
    <x v="5"/>
    <x v="4"/>
    <s v="Management"/>
    <x v="0"/>
    <x v="2"/>
    <x v="2"/>
    <x v="2"/>
    <x v="27"/>
    <x v="1"/>
    <x v="0"/>
  </r>
  <r>
    <n v="17450"/>
    <x v="0"/>
    <x v="1"/>
    <n v="80000"/>
    <x v="2"/>
    <x v="1"/>
    <s v="Professional"/>
    <x v="0"/>
    <x v="4"/>
    <x v="2"/>
    <x v="2"/>
    <x v="12"/>
    <x v="0"/>
    <x v="0"/>
  </r>
  <r>
    <n v="17337"/>
    <x v="1"/>
    <x v="1"/>
    <n v="40000"/>
    <x v="3"/>
    <x v="2"/>
    <s v="Skilled Manual"/>
    <x v="0"/>
    <x v="1"/>
    <x v="2"/>
    <x v="2"/>
    <x v="23"/>
    <x v="0"/>
    <x v="0"/>
  </r>
  <r>
    <n v="18594"/>
    <x v="1"/>
    <x v="0"/>
    <n v="80000"/>
    <x v="1"/>
    <x v="0"/>
    <s v="Skilled Manual"/>
    <x v="0"/>
    <x v="4"/>
    <x v="4"/>
    <x v="2"/>
    <x v="8"/>
    <x v="0"/>
    <x v="1"/>
  </r>
  <r>
    <n v="15982"/>
    <x v="0"/>
    <x v="1"/>
    <n v="110000"/>
    <x v="2"/>
    <x v="1"/>
    <s v="Professional"/>
    <x v="0"/>
    <x v="3"/>
    <x v="1"/>
    <x v="2"/>
    <x v="30"/>
    <x v="0"/>
    <x v="0"/>
  </r>
  <r>
    <n v="28625"/>
    <x v="1"/>
    <x v="1"/>
    <n v="40000"/>
    <x v="4"/>
    <x v="1"/>
    <s v="Clerical"/>
    <x v="1"/>
    <x v="1"/>
    <x v="3"/>
    <x v="2"/>
    <x v="15"/>
    <x v="0"/>
    <x v="1"/>
  </r>
  <r>
    <n v="11269"/>
    <x v="0"/>
    <x v="1"/>
    <n v="130000"/>
    <x v="4"/>
    <x v="4"/>
    <s v="Management"/>
    <x v="0"/>
    <x v="2"/>
    <x v="0"/>
    <x v="2"/>
    <x v="3"/>
    <x v="0"/>
    <x v="0"/>
  </r>
  <r>
    <n v="25148"/>
    <x v="0"/>
    <x v="1"/>
    <n v="60000"/>
    <x v="4"/>
    <x v="2"/>
    <s v="Professional"/>
    <x v="1"/>
    <x v="2"/>
    <x v="3"/>
    <x v="2"/>
    <x v="28"/>
    <x v="0"/>
    <x v="1"/>
  </r>
  <r>
    <n v="13920"/>
    <x v="1"/>
    <x v="0"/>
    <n v="50000"/>
    <x v="5"/>
    <x v="0"/>
    <s v="Skilled Manual"/>
    <x v="0"/>
    <x v="2"/>
    <x v="0"/>
    <x v="2"/>
    <x v="0"/>
    <x v="0"/>
    <x v="0"/>
  </r>
  <r>
    <n v="23704"/>
    <x v="1"/>
    <x v="1"/>
    <n v="40000"/>
    <x v="2"/>
    <x v="2"/>
    <s v="Professional"/>
    <x v="0"/>
    <x v="3"/>
    <x v="4"/>
    <x v="2"/>
    <x v="2"/>
    <x v="1"/>
    <x v="1"/>
  </r>
  <r>
    <n v="28972"/>
    <x v="1"/>
    <x v="0"/>
    <n v="60000"/>
    <x v="1"/>
    <x v="4"/>
    <s v="Management"/>
    <x v="0"/>
    <x v="2"/>
    <x v="4"/>
    <x v="2"/>
    <x v="29"/>
    <x v="1"/>
    <x v="0"/>
  </r>
  <r>
    <n v="22730"/>
    <x v="0"/>
    <x v="1"/>
    <n v="70000"/>
    <x v="2"/>
    <x v="0"/>
    <s v="Management"/>
    <x v="0"/>
    <x v="2"/>
    <x v="4"/>
    <x v="2"/>
    <x v="18"/>
    <x v="1"/>
    <x v="0"/>
  </r>
  <r>
    <n v="29134"/>
    <x v="0"/>
    <x v="1"/>
    <n v="60000"/>
    <x v="5"/>
    <x v="0"/>
    <s v="Skilled Manual"/>
    <x v="1"/>
    <x v="4"/>
    <x v="4"/>
    <x v="2"/>
    <x v="0"/>
    <x v="0"/>
    <x v="0"/>
  </r>
  <r>
    <n v="14332"/>
    <x v="1"/>
    <x v="0"/>
    <n v="30000"/>
    <x v="3"/>
    <x v="2"/>
    <s v="Skilled Manual"/>
    <x v="1"/>
    <x v="2"/>
    <x v="2"/>
    <x v="2"/>
    <x v="22"/>
    <x v="2"/>
    <x v="0"/>
  </r>
  <r>
    <n v="19117"/>
    <x v="1"/>
    <x v="0"/>
    <n v="60000"/>
    <x v="0"/>
    <x v="4"/>
    <s v="Professional"/>
    <x v="0"/>
    <x v="0"/>
    <x v="1"/>
    <x v="2"/>
    <x v="4"/>
    <x v="0"/>
    <x v="1"/>
  </r>
  <r>
    <n v="22864"/>
    <x v="0"/>
    <x v="1"/>
    <n v="90000"/>
    <x v="4"/>
    <x v="1"/>
    <s v="Professional"/>
    <x v="1"/>
    <x v="0"/>
    <x v="2"/>
    <x v="2"/>
    <x v="38"/>
    <x v="0"/>
    <x v="1"/>
  </r>
  <r>
    <n v="11292"/>
    <x v="1"/>
    <x v="1"/>
    <n v="150000"/>
    <x v="0"/>
    <x v="1"/>
    <s v="Professional"/>
    <x v="1"/>
    <x v="4"/>
    <x v="0"/>
    <x v="2"/>
    <x v="20"/>
    <x v="0"/>
    <x v="1"/>
  </r>
  <r>
    <n v="13466"/>
    <x v="0"/>
    <x v="1"/>
    <n v="80000"/>
    <x v="2"/>
    <x v="1"/>
    <s v="Professional"/>
    <x v="0"/>
    <x v="4"/>
    <x v="3"/>
    <x v="2"/>
    <x v="30"/>
    <x v="0"/>
    <x v="0"/>
  </r>
  <r>
    <n v="23731"/>
    <x v="0"/>
    <x v="1"/>
    <n v="60000"/>
    <x v="4"/>
    <x v="2"/>
    <s v="Professional"/>
    <x v="0"/>
    <x v="2"/>
    <x v="1"/>
    <x v="2"/>
    <x v="9"/>
    <x v="0"/>
    <x v="1"/>
  </r>
  <r>
    <n v="28672"/>
    <x v="1"/>
    <x v="1"/>
    <n v="70000"/>
    <x v="5"/>
    <x v="4"/>
    <s v="Professional"/>
    <x v="0"/>
    <x v="0"/>
    <x v="1"/>
    <x v="2"/>
    <x v="11"/>
    <x v="0"/>
    <x v="1"/>
  </r>
  <r>
    <n v="11809"/>
    <x v="0"/>
    <x v="1"/>
    <n v="60000"/>
    <x v="4"/>
    <x v="0"/>
    <s v="Skilled Manual"/>
    <x v="0"/>
    <x v="0"/>
    <x v="0"/>
    <x v="2"/>
    <x v="13"/>
    <x v="0"/>
    <x v="1"/>
  </r>
  <r>
    <n v="19664"/>
    <x v="1"/>
    <x v="1"/>
    <n v="100000"/>
    <x v="1"/>
    <x v="0"/>
    <s v="Management"/>
    <x v="1"/>
    <x v="4"/>
    <x v="3"/>
    <x v="2"/>
    <x v="13"/>
    <x v="0"/>
    <x v="0"/>
  </r>
  <r>
    <n v="12121"/>
    <x v="1"/>
    <x v="1"/>
    <n v="60000"/>
    <x v="1"/>
    <x v="2"/>
    <s v="Professional"/>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22BA08-FA70-419C-9A49-17C4D741CD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8133E5-B7E9-4E9D-B378-95AED32EEA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F07EC6-0F94-4B2D-BF84-014527E124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9:D104" firstHeaderRow="1" firstDataRow="2" firstDataCol="1"/>
  <pivotFields count="14">
    <pivotField showAll="0"/>
    <pivotField showAll="0">
      <items count="3">
        <item x="0"/>
        <item x="1"/>
        <item t="default"/>
      </items>
    </pivotField>
    <pivotField showAll="0"/>
    <pivotField numFmtId="165"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139E1F-CCEA-47B5-8A79-CA8E12E218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D39" firstHeaderRow="1" firstDataRow="2" firstDataCol="1"/>
  <pivotFields count="14">
    <pivotField showAll="0"/>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7">
        <item m="1" x="5"/>
        <item m="1" x="3"/>
        <item m="1" x="4"/>
        <item x="2"/>
        <item x="0"/>
        <item x="1"/>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1557E9A-B6E8-4141-ACFF-D064CE0B88B5}" sourceName="Marital Status">
  <pivotTables>
    <pivotTable tabId="4" name="PivotTable1"/>
    <pivotTable tabId="4" name="PivotTable2"/>
    <pivotTable tabId="4" name="PivotTable3"/>
    <pivotTable tabId="4" name="PivotTable4"/>
  </pivotTables>
  <data>
    <tabular pivotCacheId="17964133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0B102883-4ACA-4454-BE74-5C9B2B4E6C36}" sourceName="Children">
  <pivotTables>
    <pivotTable tabId="4" name="PivotTable1"/>
    <pivotTable tabId="4" name="PivotTable2"/>
    <pivotTable tabId="4" name="PivotTable3"/>
    <pivotTable tabId="4" name="PivotTable4"/>
  </pivotTables>
  <data>
    <tabular pivotCacheId="1796413371">
      <items count="6">
        <i x="3" s="1"/>
        <i x="0" s="1"/>
        <i x="4"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26E22C0-6A21-4A0B-B87B-FB66D689D1C0}" sourceName="Education">
  <pivotTables>
    <pivotTable tabId="4" name="PivotTable1"/>
    <pivotTable tabId="4" name="PivotTable2"/>
    <pivotTable tabId="4" name="PivotTable3"/>
  </pivotTables>
  <data>
    <tabular pivotCacheId="1796413371">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70130CB8-029E-4499-8C3E-8FE208AB08A6}" sourceName="Cars">
  <pivotTables>
    <pivotTable tabId="4" name="PivotTable1"/>
    <pivotTable tabId="4" name="PivotTable2"/>
    <pivotTable tabId="4" name="PivotTable3"/>
    <pivotTable tabId="4" name="PivotTable4"/>
  </pivotTables>
  <data>
    <tabular pivotCacheId="1796413371">
      <items count="5">
        <i x="0" s="1"/>
        <i x="1"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9246CF-1016-4CB9-BF7B-CF74E41FD695}" sourceName="Region">
  <pivotTables>
    <pivotTable tabId="4" name="PivotTable1"/>
    <pivotTable tabId="4" name="PivotTable2"/>
    <pivotTable tabId="4" name="PivotTable3"/>
    <pivotTable tabId="4" name="PivotTable4"/>
  </pivotTables>
  <data>
    <tabular pivotCacheId="17964133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FD58D82-4D9C-469F-82A0-2039754DFC60}" cache="Slicer_Marital_Status" caption="Marital Status" rowHeight="234950"/>
  <slicer name="Children" xr10:uid="{45BDE2B2-E05F-4CB4-8117-69EEC2DE4047}" cache="Slicer_Children" caption="Children" startItem="5" rowHeight="234950"/>
  <slicer name="Education" xr10:uid="{9CD83F3C-CB7E-4CAC-B4E3-674BF421ED38}" cache="Slicer_Education" caption="Education" startItem="2" rowHeight="234950"/>
  <slicer name="Cars" xr10:uid="{89AD2714-371F-48AD-BCE6-EA612C50B48A}" cache="Slicer_Cars" caption="Cars" rowHeight="234950"/>
  <slicer name="Region" xr10:uid="{15E04576-47CA-4C0A-B734-B28AAC4E9417}"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C9238-9BD0-40CA-86D7-DD57F3722E22}">
  <dimension ref="A1:O6"/>
  <sheetViews>
    <sheetView showGridLines="0" tabSelected="1" zoomScale="70" zoomScaleNormal="70" workbookViewId="0">
      <selection activeCell="U15" sqref="U15"/>
    </sheetView>
  </sheetViews>
  <sheetFormatPr defaultRowHeight="14.4" x14ac:dyDescent="0.3"/>
  <sheetData>
    <row r="1" spans="1:15" x14ac:dyDescent="0.3">
      <c r="A1" s="6" t="s">
        <v>49</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487A3-127A-4861-9A79-C3B276CB4CF0}">
  <dimension ref="A1:M1027"/>
  <sheetViews>
    <sheetView workbookViewId="0">
      <selection activeCell="M12" sqref="M1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P7" sqref="P7"/>
    </sheetView>
  </sheetViews>
  <sheetFormatPr defaultColWidth="11.88671875" defaultRowHeight="14.4" x14ac:dyDescent="0.3"/>
  <cols>
    <col min="1" max="1" width="6" bestFit="1" customWidth="1"/>
    <col min="2" max="2" width="14.5546875" bestFit="1" customWidth="1"/>
    <col min="4" max="4" width="14" style="3" bestFit="1" customWidth="1"/>
    <col min="10" max="10" width="18.77734375" bestFit="1" customWidth="1"/>
    <col min="13" max="13" width="15.7773437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IF(L2&lt;31,"Adolescent 0-30",IF(L2&lt;55,"Middle_Age 31-54","Old 55+"))</f>
        <v>Middle_Age 31-54</v>
      </c>
      <c r="N2" t="s">
        <v>18</v>
      </c>
    </row>
    <row r="3" spans="1:14" x14ac:dyDescent="0.3">
      <c r="A3">
        <v>24107</v>
      </c>
      <c r="B3" t="s">
        <v>36</v>
      </c>
      <c r="C3" t="s">
        <v>38</v>
      </c>
      <c r="D3" s="3">
        <v>30000</v>
      </c>
      <c r="E3">
        <v>3</v>
      </c>
      <c r="F3" t="s">
        <v>19</v>
      </c>
      <c r="G3" t="s">
        <v>20</v>
      </c>
      <c r="H3" t="s">
        <v>15</v>
      </c>
      <c r="I3">
        <v>1</v>
      </c>
      <c r="J3" t="s">
        <v>16</v>
      </c>
      <c r="K3" t="s">
        <v>17</v>
      </c>
      <c r="L3">
        <v>43</v>
      </c>
      <c r="M3" t="str">
        <f t="shared" ref="M3:M66" si="0">IF(L3&lt;31,"Adolescent 0-30",IF(L3&lt;55,"Middle_Age 31-54","Old 55+"))</f>
        <v>Middle_Age 31-54</v>
      </c>
      <c r="N3" t="s">
        <v>18</v>
      </c>
    </row>
    <row r="4" spans="1:14" x14ac:dyDescent="0.3">
      <c r="A4">
        <v>14177</v>
      </c>
      <c r="B4" t="s">
        <v>36</v>
      </c>
      <c r="C4" t="s">
        <v>38</v>
      </c>
      <c r="D4" s="3">
        <v>80000</v>
      </c>
      <c r="E4">
        <v>5</v>
      </c>
      <c r="F4" t="s">
        <v>19</v>
      </c>
      <c r="G4" t="s">
        <v>21</v>
      </c>
      <c r="H4" t="s">
        <v>18</v>
      </c>
      <c r="I4">
        <v>2</v>
      </c>
      <c r="J4" t="s">
        <v>22</v>
      </c>
      <c r="K4" t="s">
        <v>17</v>
      </c>
      <c r="L4">
        <v>60</v>
      </c>
      <c r="M4" t="str">
        <f t="shared" si="0"/>
        <v>Old 55+</v>
      </c>
      <c r="N4" t="s">
        <v>18</v>
      </c>
    </row>
    <row r="5" spans="1:14" x14ac:dyDescent="0.3">
      <c r="A5">
        <v>24381</v>
      </c>
      <c r="B5" t="s">
        <v>37</v>
      </c>
      <c r="C5" t="s">
        <v>38</v>
      </c>
      <c r="D5" s="3">
        <v>70000</v>
      </c>
      <c r="E5">
        <v>0</v>
      </c>
      <c r="F5" t="s">
        <v>13</v>
      </c>
      <c r="G5" t="s">
        <v>21</v>
      </c>
      <c r="H5" t="s">
        <v>15</v>
      </c>
      <c r="I5">
        <v>1</v>
      </c>
      <c r="J5" t="s">
        <v>23</v>
      </c>
      <c r="K5" t="s">
        <v>24</v>
      </c>
      <c r="L5">
        <v>41</v>
      </c>
      <c r="M5" t="str">
        <f t="shared" si="0"/>
        <v>Middle_Age 31-54</v>
      </c>
      <c r="N5" t="s">
        <v>15</v>
      </c>
    </row>
    <row r="6" spans="1:14" x14ac:dyDescent="0.3">
      <c r="A6">
        <v>25597</v>
      </c>
      <c r="B6" t="s">
        <v>37</v>
      </c>
      <c r="C6" t="s">
        <v>38</v>
      </c>
      <c r="D6" s="3">
        <v>30000</v>
      </c>
      <c r="E6">
        <v>0</v>
      </c>
      <c r="F6" t="s">
        <v>13</v>
      </c>
      <c r="G6" t="s">
        <v>20</v>
      </c>
      <c r="H6" t="s">
        <v>18</v>
      </c>
      <c r="I6">
        <v>0</v>
      </c>
      <c r="J6" t="s">
        <v>16</v>
      </c>
      <c r="K6" t="s">
        <v>17</v>
      </c>
      <c r="L6">
        <v>36</v>
      </c>
      <c r="M6" t="str">
        <f t="shared" si="0"/>
        <v>Middle_Age 31-54</v>
      </c>
      <c r="N6" t="s">
        <v>15</v>
      </c>
    </row>
    <row r="7" spans="1:14" x14ac:dyDescent="0.3">
      <c r="A7">
        <v>13507</v>
      </c>
      <c r="B7" t="s">
        <v>36</v>
      </c>
      <c r="C7" t="s">
        <v>39</v>
      </c>
      <c r="D7" s="3">
        <v>10000</v>
      </c>
      <c r="E7">
        <v>2</v>
      </c>
      <c r="F7" t="s">
        <v>19</v>
      </c>
      <c r="G7" t="s">
        <v>25</v>
      </c>
      <c r="H7" t="s">
        <v>15</v>
      </c>
      <c r="I7">
        <v>0</v>
      </c>
      <c r="J7" t="s">
        <v>26</v>
      </c>
      <c r="K7" t="s">
        <v>17</v>
      </c>
      <c r="L7">
        <v>50</v>
      </c>
      <c r="M7" t="str">
        <f t="shared" si="0"/>
        <v>Middle_Age 31-54</v>
      </c>
      <c r="N7" t="s">
        <v>18</v>
      </c>
    </row>
    <row r="8" spans="1:14" x14ac:dyDescent="0.3">
      <c r="A8">
        <v>27974</v>
      </c>
      <c r="B8" t="s">
        <v>37</v>
      </c>
      <c r="C8" t="s">
        <v>38</v>
      </c>
      <c r="D8" s="3">
        <v>160000</v>
      </c>
      <c r="E8">
        <v>2</v>
      </c>
      <c r="F8" t="s">
        <v>27</v>
      </c>
      <c r="G8" t="s">
        <v>28</v>
      </c>
      <c r="H8" t="s">
        <v>15</v>
      </c>
      <c r="I8">
        <v>4</v>
      </c>
      <c r="J8" t="s">
        <v>16</v>
      </c>
      <c r="K8" t="s">
        <v>24</v>
      </c>
      <c r="L8">
        <v>33</v>
      </c>
      <c r="M8" t="str">
        <f t="shared" si="0"/>
        <v>Middle_Age 31-54</v>
      </c>
      <c r="N8" t="s">
        <v>15</v>
      </c>
    </row>
    <row r="9" spans="1:14" x14ac:dyDescent="0.3">
      <c r="A9">
        <v>19364</v>
      </c>
      <c r="B9" t="s">
        <v>36</v>
      </c>
      <c r="C9" t="s">
        <v>38</v>
      </c>
      <c r="D9" s="3">
        <v>40000</v>
      </c>
      <c r="E9">
        <v>1</v>
      </c>
      <c r="F9" t="s">
        <v>13</v>
      </c>
      <c r="G9" t="s">
        <v>14</v>
      </c>
      <c r="H9" t="s">
        <v>15</v>
      </c>
      <c r="I9">
        <v>0</v>
      </c>
      <c r="J9" t="s">
        <v>16</v>
      </c>
      <c r="K9" t="s">
        <v>17</v>
      </c>
      <c r="L9">
        <v>43</v>
      </c>
      <c r="M9" t="str">
        <f t="shared" si="0"/>
        <v>Middle_Age 31-54</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Middle_Age 31-54</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Middle_Age 31-54</v>
      </c>
      <c r="N12" t="s">
        <v>15</v>
      </c>
    </row>
    <row r="13" spans="1:14" x14ac:dyDescent="0.3">
      <c r="A13">
        <v>12697</v>
      </c>
      <c r="B13" t="s">
        <v>37</v>
      </c>
      <c r="C13" t="s">
        <v>39</v>
      </c>
      <c r="D13" s="3">
        <v>90000</v>
      </c>
      <c r="E13">
        <v>0</v>
      </c>
      <c r="F13" t="s">
        <v>13</v>
      </c>
      <c r="G13" t="s">
        <v>21</v>
      </c>
      <c r="H13" t="s">
        <v>18</v>
      </c>
      <c r="I13">
        <v>4</v>
      </c>
      <c r="J13" t="s">
        <v>30</v>
      </c>
      <c r="K13" t="s">
        <v>24</v>
      </c>
      <c r="L13">
        <v>36</v>
      </c>
      <c r="M13" t="str">
        <f t="shared" si="0"/>
        <v>Middle_Age 31-54</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Middle_Age 31-54</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Middle_Age 31-54</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Middle_Age 31-54</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Middle_Age 31-54</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Middle_Age 31-54</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Middle_Age 31-54</v>
      </c>
      <c r="N22" t="s">
        <v>15</v>
      </c>
    </row>
    <row r="23" spans="1:14" x14ac:dyDescent="0.3">
      <c r="A23">
        <v>21564</v>
      </c>
      <c r="B23" t="s">
        <v>37</v>
      </c>
      <c r="C23" t="s">
        <v>39</v>
      </c>
      <c r="D23" s="3">
        <v>80000</v>
      </c>
      <c r="E23">
        <v>0</v>
      </c>
      <c r="F23" t="s">
        <v>13</v>
      </c>
      <c r="G23" t="s">
        <v>21</v>
      </c>
      <c r="H23" t="s">
        <v>15</v>
      </c>
      <c r="I23">
        <v>4</v>
      </c>
      <c r="J23" t="s">
        <v>30</v>
      </c>
      <c r="K23" t="s">
        <v>24</v>
      </c>
      <c r="L23">
        <v>35</v>
      </c>
      <c r="M23" t="str">
        <f t="shared" si="0"/>
        <v>Middle_Age 31-54</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Middle_Age 31-54</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Middle_Age 31-54</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Middle_Age 31-54</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Middle_Age 31-54</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Middle_Age 31-54</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Middle_Age 31-54</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Middle_Age 31-54</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Middle_Age 31-54</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Middle_Age 31-54</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Middle_Age 31-54</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Middle_Age 31-54</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Middle_Age 31-54</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Middle_Age 31-54</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Middle_Age 31-54</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Middle_Age 31-54</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Middle_Age 31-54</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Middle_Age 31-54</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Middle_Age 31-54</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38</v>
      </c>
      <c r="D53" s="3">
        <v>80000</v>
      </c>
      <c r="E53">
        <v>0</v>
      </c>
      <c r="F53" t="s">
        <v>13</v>
      </c>
      <c r="G53" t="s">
        <v>21</v>
      </c>
      <c r="H53" t="s">
        <v>18</v>
      </c>
      <c r="I53">
        <v>4</v>
      </c>
      <c r="J53" t="s">
        <v>30</v>
      </c>
      <c r="K53" t="s">
        <v>24</v>
      </c>
      <c r="L53">
        <v>35</v>
      </c>
      <c r="M53" t="str">
        <f t="shared" si="0"/>
        <v>Middle_Age 31-54</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Middle_Age 31-54</v>
      </c>
      <c r="N56" t="s">
        <v>18</v>
      </c>
    </row>
    <row r="57" spans="1:14" x14ac:dyDescent="0.3">
      <c r="A57">
        <v>28906</v>
      </c>
      <c r="B57" t="s">
        <v>36</v>
      </c>
      <c r="C57" t="s">
        <v>38</v>
      </c>
      <c r="D57" s="3">
        <v>80000</v>
      </c>
      <c r="E57">
        <v>4</v>
      </c>
      <c r="F57" t="s">
        <v>27</v>
      </c>
      <c r="G57" t="s">
        <v>21</v>
      </c>
      <c r="H57" t="s">
        <v>15</v>
      </c>
      <c r="I57">
        <v>2</v>
      </c>
      <c r="J57" t="s">
        <v>30</v>
      </c>
      <c r="K57" t="s">
        <v>17</v>
      </c>
      <c r="L57">
        <v>54</v>
      </c>
      <c r="M57" t="str">
        <f t="shared" si="0"/>
        <v>Middle_Age 31-54</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Middle_Age 31-54</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Middle_Age 31-54</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Middle_Age 31-54</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Middle_Age 31-54</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Middle_Age 31-54</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Middle_Age 31-54</v>
      </c>
      <c r="N64" t="s">
        <v>15</v>
      </c>
    </row>
    <row r="65" spans="1:14" x14ac:dyDescent="0.3">
      <c r="A65">
        <v>16185</v>
      </c>
      <c r="B65" t="s">
        <v>37</v>
      </c>
      <c r="C65" t="s">
        <v>38</v>
      </c>
      <c r="D65" s="3">
        <v>60000</v>
      </c>
      <c r="E65">
        <v>4</v>
      </c>
      <c r="F65" t="s">
        <v>13</v>
      </c>
      <c r="G65" t="s">
        <v>21</v>
      </c>
      <c r="H65" t="s">
        <v>15</v>
      </c>
      <c r="I65">
        <v>3</v>
      </c>
      <c r="J65" t="s">
        <v>30</v>
      </c>
      <c r="K65" t="s">
        <v>24</v>
      </c>
      <c r="L65">
        <v>41</v>
      </c>
      <c r="M65" t="str">
        <f t="shared" si="0"/>
        <v>Middle_Age 31-54</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Middle_Age 31-54</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IF(L67&lt;31,"Adolescent 0-30",IF(L67&lt;55,"Middle_Age 31-54","Old 55+"))</f>
        <v>Old 55+</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Middle_Age 31-54</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Middle_Age 31-54</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Middle_Age 31-54</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38</v>
      </c>
      <c r="D72" s="3">
        <v>120000</v>
      </c>
      <c r="E72">
        <v>0</v>
      </c>
      <c r="F72" t="s">
        <v>29</v>
      </c>
      <c r="G72" t="s">
        <v>21</v>
      </c>
      <c r="H72" t="s">
        <v>15</v>
      </c>
      <c r="I72">
        <v>4</v>
      </c>
      <c r="J72" t="s">
        <v>30</v>
      </c>
      <c r="K72" t="s">
        <v>24</v>
      </c>
      <c r="L72">
        <v>36</v>
      </c>
      <c r="M72" t="str">
        <f t="shared" si="1"/>
        <v>Middle_Age 31-54</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Middle_Age 31-54</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Middle_Age 31-54</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Middle_Age 31-54</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Middle_Age 31-54</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38</v>
      </c>
      <c r="D79" s="3">
        <v>80000</v>
      </c>
      <c r="E79">
        <v>0</v>
      </c>
      <c r="F79" t="s">
        <v>13</v>
      </c>
      <c r="G79" t="s">
        <v>21</v>
      </c>
      <c r="H79" t="s">
        <v>15</v>
      </c>
      <c r="I79">
        <v>2</v>
      </c>
      <c r="J79" t="s">
        <v>30</v>
      </c>
      <c r="K79" t="s">
        <v>24</v>
      </c>
      <c r="L79">
        <v>29</v>
      </c>
      <c r="M79" t="str">
        <f t="shared" si="1"/>
        <v>Adolescent 0-30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Middle_Age 31-54</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Middle_Age 31-54</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Middle_Age 31-54</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Middle_Age 31-54</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Middle_Age 31-54</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Middle_Age 31-54</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Middle_Age 31-54</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Middle_Age 31-54</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Middle_Age 31-54</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Middle_Age 31-54</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39</v>
      </c>
      <c r="D97" s="3">
        <v>90000</v>
      </c>
      <c r="E97">
        <v>5</v>
      </c>
      <c r="F97" t="s">
        <v>19</v>
      </c>
      <c r="G97" t="s">
        <v>21</v>
      </c>
      <c r="H97" t="s">
        <v>15</v>
      </c>
      <c r="I97">
        <v>2</v>
      </c>
      <c r="J97" t="s">
        <v>30</v>
      </c>
      <c r="K97" t="s">
        <v>17</v>
      </c>
      <c r="L97">
        <v>62</v>
      </c>
      <c r="M97" t="str">
        <f t="shared" si="1"/>
        <v>Old 55+</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Middle_Age 31-54</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Middle_Age 31-54</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Middle_Age 31-54</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Middle_Age 31-54</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Middle_Age 31-54</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Middle_Age 31-54</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Middle_Age 31-54</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Middle_Age 31-54</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Middle_Age 31-54</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Middle_Age 31-54</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Middle_Age 31-54</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Middle_Age 31-54</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Middle_Age 31-54</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Middle_Age 31-54</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Middle_Age 31-54</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Middle_Age 31-54</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Middle_Age 31-54</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Middle_Age 31-54</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Middle_Age 31-54</v>
      </c>
      <c r="N123" t="s">
        <v>18</v>
      </c>
    </row>
    <row r="124" spans="1:14" x14ac:dyDescent="0.3">
      <c r="A124">
        <v>12344</v>
      </c>
      <c r="B124" t="s">
        <v>37</v>
      </c>
      <c r="C124" t="s">
        <v>39</v>
      </c>
      <c r="D124" s="3">
        <v>80000</v>
      </c>
      <c r="E124">
        <v>0</v>
      </c>
      <c r="F124" t="s">
        <v>13</v>
      </c>
      <c r="G124" t="s">
        <v>21</v>
      </c>
      <c r="H124" t="s">
        <v>18</v>
      </c>
      <c r="I124">
        <v>3</v>
      </c>
      <c r="J124" t="s">
        <v>30</v>
      </c>
      <c r="K124" t="s">
        <v>24</v>
      </c>
      <c r="L124">
        <v>31</v>
      </c>
      <c r="M124" t="str">
        <f t="shared" si="1"/>
        <v>Middle_Age 31-54</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Middle_Age 31-54</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Middle_Age 31-54</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Middle_Age 31-54</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Middle_Age 31-54</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Middle_Age 31-54</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IF(L131&lt;31,"Adolescent 0-30",IF(L131&lt;55,"Middle_Age 31-54","Old 55+"))</f>
        <v>Middle_Age 31-54</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Middle_Age 31-54</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Middle_Age 31-54</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Middle_Age 31-54</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Middle_Age 31-54</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Middle_Age 31-54</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Middle_Age 31-54</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Middle_Age 31-54</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Middle_Age 31-54</v>
      </c>
      <c r="N144" t="s">
        <v>15</v>
      </c>
    </row>
    <row r="145" spans="1:14" x14ac:dyDescent="0.3">
      <c r="A145">
        <v>16614</v>
      </c>
      <c r="B145" t="s">
        <v>36</v>
      </c>
      <c r="C145" t="s">
        <v>39</v>
      </c>
      <c r="D145" s="3">
        <v>80000</v>
      </c>
      <c r="E145">
        <v>0</v>
      </c>
      <c r="F145" t="s">
        <v>13</v>
      </c>
      <c r="G145" t="s">
        <v>21</v>
      </c>
      <c r="H145" t="s">
        <v>15</v>
      </c>
      <c r="I145">
        <v>3</v>
      </c>
      <c r="J145" t="s">
        <v>30</v>
      </c>
      <c r="K145" t="s">
        <v>24</v>
      </c>
      <c r="L145">
        <v>32</v>
      </c>
      <c r="M145" t="str">
        <f t="shared" si="2"/>
        <v>Middle_Age 31-54</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Middle_Age 31-54</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Middle_Age 31-54</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Middle_Age 31-54</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Middle_Age 31-54</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Middle_Age 31-54</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Middle_Age 31-54</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Middle_Age 31-54</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Middle_Age 31-54</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Middle_Age 31-54</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Middle_Age 31-54</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Middle_Age 31-54</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Middle_Age 31-54</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Middle_Age 31-54</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Middle_Age 31-54</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Middle_Age 31-54</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Middle_Age 31-54</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Middle_Age 31-54</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Middle_Age 31-54</v>
      </c>
      <c r="N168" t="s">
        <v>15</v>
      </c>
    </row>
    <row r="169" spans="1:14" x14ac:dyDescent="0.3">
      <c r="A169">
        <v>14233</v>
      </c>
      <c r="B169" t="s">
        <v>37</v>
      </c>
      <c r="C169" t="s">
        <v>38</v>
      </c>
      <c r="D169" s="3">
        <v>100000</v>
      </c>
      <c r="E169">
        <v>0</v>
      </c>
      <c r="F169" t="s">
        <v>27</v>
      </c>
      <c r="G169" t="s">
        <v>28</v>
      </c>
      <c r="H169" t="s">
        <v>15</v>
      </c>
      <c r="I169">
        <v>3</v>
      </c>
      <c r="J169" t="s">
        <v>30</v>
      </c>
      <c r="K169" t="s">
        <v>24</v>
      </c>
      <c r="L169">
        <v>35</v>
      </c>
      <c r="M169" t="str">
        <f t="shared" si="2"/>
        <v>Middle_Age 31-54</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Middle_Age 31-54</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Middle_Age 31-54</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Middle_Age 31-54</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Middle_Age 31-54</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Middle_Age 31-54</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Middle_Age 31-54</v>
      </c>
      <c r="N179" t="s">
        <v>18</v>
      </c>
    </row>
    <row r="180" spans="1:14" x14ac:dyDescent="0.3">
      <c r="A180">
        <v>14191</v>
      </c>
      <c r="B180" t="s">
        <v>36</v>
      </c>
      <c r="C180" t="s">
        <v>38</v>
      </c>
      <c r="D180" s="3">
        <v>160000</v>
      </c>
      <c r="E180">
        <v>4</v>
      </c>
      <c r="F180" t="s">
        <v>19</v>
      </c>
      <c r="G180" t="s">
        <v>21</v>
      </c>
      <c r="H180" t="s">
        <v>18</v>
      </c>
      <c r="I180">
        <v>2</v>
      </c>
      <c r="J180" t="s">
        <v>30</v>
      </c>
      <c r="K180" t="s">
        <v>17</v>
      </c>
      <c r="L180">
        <v>55</v>
      </c>
      <c r="M180" t="str">
        <f t="shared" si="2"/>
        <v>Old 55+</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Middle_Age 31-54</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Middle_Age 31-54</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Middle_Age 31-54</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3">
        <v>130000</v>
      </c>
      <c r="E186">
        <v>4</v>
      </c>
      <c r="F186" t="s">
        <v>27</v>
      </c>
      <c r="G186" t="s">
        <v>28</v>
      </c>
      <c r="H186" t="s">
        <v>18</v>
      </c>
      <c r="I186">
        <v>4</v>
      </c>
      <c r="J186" t="s">
        <v>30</v>
      </c>
      <c r="K186" t="s">
        <v>17</v>
      </c>
      <c r="L186">
        <v>58</v>
      </c>
      <c r="M186" t="str">
        <f t="shared" si="2"/>
        <v>Old 55+</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Middle_Age 31-54</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38</v>
      </c>
      <c r="D189" s="3">
        <v>80000</v>
      </c>
      <c r="E189">
        <v>5</v>
      </c>
      <c r="F189" t="s">
        <v>19</v>
      </c>
      <c r="G189" t="s">
        <v>21</v>
      </c>
      <c r="H189" t="s">
        <v>18</v>
      </c>
      <c r="I189">
        <v>2</v>
      </c>
      <c r="J189" t="s">
        <v>30</v>
      </c>
      <c r="K189" t="s">
        <v>17</v>
      </c>
      <c r="L189">
        <v>59</v>
      </c>
      <c r="M189" t="str">
        <f t="shared" si="2"/>
        <v>Old 55+</v>
      </c>
      <c r="N189" t="s">
        <v>18</v>
      </c>
    </row>
    <row r="190" spans="1:14" x14ac:dyDescent="0.3">
      <c r="A190">
        <v>20606</v>
      </c>
      <c r="B190" t="s">
        <v>36</v>
      </c>
      <c r="C190" t="s">
        <v>39</v>
      </c>
      <c r="D190" s="3">
        <v>70000</v>
      </c>
      <c r="E190">
        <v>0</v>
      </c>
      <c r="F190" t="s">
        <v>13</v>
      </c>
      <c r="G190" t="s">
        <v>21</v>
      </c>
      <c r="H190" t="s">
        <v>15</v>
      </c>
      <c r="I190">
        <v>4</v>
      </c>
      <c r="J190" t="s">
        <v>30</v>
      </c>
      <c r="K190" t="s">
        <v>24</v>
      </c>
      <c r="L190">
        <v>32</v>
      </c>
      <c r="M190" t="str">
        <f t="shared" si="2"/>
        <v>Middle_Age 31-54</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Middle_Age 31-54</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Middle_Age 31-54</v>
      </c>
      <c r="N193" t="s">
        <v>15</v>
      </c>
    </row>
    <row r="194" spans="1:14" x14ac:dyDescent="0.3">
      <c r="A194">
        <v>15682</v>
      </c>
      <c r="B194" t="s">
        <v>37</v>
      </c>
      <c r="C194" t="s">
        <v>39</v>
      </c>
      <c r="D194" s="3">
        <v>80000</v>
      </c>
      <c r="E194">
        <v>5</v>
      </c>
      <c r="F194" t="s">
        <v>13</v>
      </c>
      <c r="G194" t="s">
        <v>28</v>
      </c>
      <c r="H194" t="s">
        <v>15</v>
      </c>
      <c r="I194">
        <v>2</v>
      </c>
      <c r="J194" t="s">
        <v>30</v>
      </c>
      <c r="K194" t="s">
        <v>17</v>
      </c>
      <c r="L194">
        <v>62</v>
      </c>
      <c r="M194" t="str">
        <f t="shared" si="2"/>
        <v>Old 55+</v>
      </c>
      <c r="N194" t="s">
        <v>18</v>
      </c>
    </row>
    <row r="195" spans="1:14" x14ac:dyDescent="0.3">
      <c r="A195">
        <v>26032</v>
      </c>
      <c r="B195" t="s">
        <v>36</v>
      </c>
      <c r="C195" t="s">
        <v>39</v>
      </c>
      <c r="D195" s="3">
        <v>70000</v>
      </c>
      <c r="E195">
        <v>5</v>
      </c>
      <c r="F195" t="s">
        <v>13</v>
      </c>
      <c r="G195" t="s">
        <v>21</v>
      </c>
      <c r="H195" t="s">
        <v>15</v>
      </c>
      <c r="I195">
        <v>4</v>
      </c>
      <c r="J195" t="s">
        <v>30</v>
      </c>
      <c r="K195" t="s">
        <v>24</v>
      </c>
      <c r="L195">
        <v>41</v>
      </c>
      <c r="M195" t="str">
        <f t="shared" ref="M195:M258" si="3">IF(L195&lt;31,"Adolescent 0-30",IF(L195&lt;55,"Middle_Age 31-54","Old 55+"))</f>
        <v>Middle_Age 31-54</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Middle_Age 31-54</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Middle_Age 31-54</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Middle_Age 31-54</v>
      </c>
      <c r="N200" t="s">
        <v>15</v>
      </c>
    </row>
    <row r="201" spans="1:14" x14ac:dyDescent="0.3">
      <c r="A201">
        <v>11453</v>
      </c>
      <c r="B201" t="s">
        <v>37</v>
      </c>
      <c r="C201" t="s">
        <v>38</v>
      </c>
      <c r="D201" s="3">
        <v>80000</v>
      </c>
      <c r="E201">
        <v>0</v>
      </c>
      <c r="F201" t="s">
        <v>13</v>
      </c>
      <c r="G201" t="s">
        <v>21</v>
      </c>
      <c r="H201" t="s">
        <v>18</v>
      </c>
      <c r="I201">
        <v>3</v>
      </c>
      <c r="J201" t="s">
        <v>30</v>
      </c>
      <c r="K201" t="s">
        <v>24</v>
      </c>
      <c r="L201">
        <v>33</v>
      </c>
      <c r="M201" t="str">
        <f t="shared" si="3"/>
        <v>Middle_Age 31-54</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Middle_Age 31-54</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Middle_Age 31-54</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Middle_Age 31-54</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Middle_Age 31-54</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Middle_Age 31-54</v>
      </c>
      <c r="N207" t="s">
        <v>15</v>
      </c>
    </row>
    <row r="208" spans="1:14" x14ac:dyDescent="0.3">
      <c r="A208">
        <v>11415</v>
      </c>
      <c r="B208" t="s">
        <v>37</v>
      </c>
      <c r="C208" t="s">
        <v>38</v>
      </c>
      <c r="D208" s="3">
        <v>90000</v>
      </c>
      <c r="E208">
        <v>5</v>
      </c>
      <c r="F208" t="s">
        <v>19</v>
      </c>
      <c r="G208" t="s">
        <v>21</v>
      </c>
      <c r="H208" t="s">
        <v>18</v>
      </c>
      <c r="I208">
        <v>2</v>
      </c>
      <c r="J208" t="s">
        <v>30</v>
      </c>
      <c r="K208" t="s">
        <v>17</v>
      </c>
      <c r="L208">
        <v>62</v>
      </c>
      <c r="M208" t="str">
        <f t="shared" si="3"/>
        <v>Old 55+</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Middle_Age 31-54</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Middle_Age 31-54</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Middle_Age 31-54</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Middle_Age 31-54</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38</v>
      </c>
      <c r="D215" s="3">
        <v>70000</v>
      </c>
      <c r="E215">
        <v>0</v>
      </c>
      <c r="F215" t="s">
        <v>13</v>
      </c>
      <c r="G215" t="s">
        <v>21</v>
      </c>
      <c r="H215" t="s">
        <v>18</v>
      </c>
      <c r="I215">
        <v>4</v>
      </c>
      <c r="J215" t="s">
        <v>30</v>
      </c>
      <c r="K215" t="s">
        <v>24</v>
      </c>
      <c r="L215">
        <v>31</v>
      </c>
      <c r="M215" t="str">
        <f t="shared" si="3"/>
        <v>Middle_Age 31-54</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Middle_Age 31-54</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Middle_Age 31-54</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Middle_Age 31-54</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Middle_Age 31-54</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Middle_Age 31-54</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Middle_Age 31-54</v>
      </c>
      <c r="N224" t="s">
        <v>18</v>
      </c>
    </row>
    <row r="225" spans="1:14" x14ac:dyDescent="0.3">
      <c r="A225">
        <v>18711</v>
      </c>
      <c r="B225" t="s">
        <v>37</v>
      </c>
      <c r="C225" t="s">
        <v>39</v>
      </c>
      <c r="D225" s="3">
        <v>70000</v>
      </c>
      <c r="E225">
        <v>5</v>
      </c>
      <c r="F225" t="s">
        <v>13</v>
      </c>
      <c r="G225" t="s">
        <v>21</v>
      </c>
      <c r="H225" t="s">
        <v>15</v>
      </c>
      <c r="I225">
        <v>4</v>
      </c>
      <c r="J225" t="s">
        <v>30</v>
      </c>
      <c r="K225" t="s">
        <v>24</v>
      </c>
      <c r="L225">
        <v>39</v>
      </c>
      <c r="M225" t="str">
        <f t="shared" si="3"/>
        <v>Middle_Age 31-54</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Middle_Age 31-54</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Middle_Age 31-54</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Middle_Age 31-54</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Middle_Age 31-54</v>
      </c>
      <c r="N230" t="s">
        <v>18</v>
      </c>
    </row>
    <row r="231" spans="1:14" x14ac:dyDescent="0.3">
      <c r="A231">
        <v>28915</v>
      </c>
      <c r="B231" t="s">
        <v>37</v>
      </c>
      <c r="C231" t="s">
        <v>38</v>
      </c>
      <c r="D231" s="3">
        <v>80000</v>
      </c>
      <c r="E231">
        <v>5</v>
      </c>
      <c r="F231" t="s">
        <v>27</v>
      </c>
      <c r="G231" t="s">
        <v>28</v>
      </c>
      <c r="H231" t="s">
        <v>15</v>
      </c>
      <c r="I231">
        <v>3</v>
      </c>
      <c r="J231" t="s">
        <v>30</v>
      </c>
      <c r="K231" t="s">
        <v>17</v>
      </c>
      <c r="L231">
        <v>57</v>
      </c>
      <c r="M231" t="str">
        <f t="shared" si="3"/>
        <v>Old 55+</v>
      </c>
      <c r="N231" t="s">
        <v>18</v>
      </c>
    </row>
    <row r="232" spans="1:14" x14ac:dyDescent="0.3">
      <c r="A232">
        <v>22830</v>
      </c>
      <c r="B232" t="s">
        <v>36</v>
      </c>
      <c r="C232" t="s">
        <v>38</v>
      </c>
      <c r="D232" s="3">
        <v>120000</v>
      </c>
      <c r="E232">
        <v>4</v>
      </c>
      <c r="F232" t="s">
        <v>19</v>
      </c>
      <c r="G232" t="s">
        <v>28</v>
      </c>
      <c r="H232" t="s">
        <v>15</v>
      </c>
      <c r="I232">
        <v>3</v>
      </c>
      <c r="J232" t="s">
        <v>30</v>
      </c>
      <c r="K232" t="s">
        <v>17</v>
      </c>
      <c r="L232">
        <v>56</v>
      </c>
      <c r="M232" t="str">
        <f t="shared" si="3"/>
        <v>Old 55+</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Middle_Age 31-54</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Middle_Age 31-54</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38</v>
      </c>
      <c r="D236" s="3">
        <v>90000</v>
      </c>
      <c r="E236">
        <v>0</v>
      </c>
      <c r="F236" t="s">
        <v>13</v>
      </c>
      <c r="G236" t="s">
        <v>21</v>
      </c>
      <c r="H236" t="s">
        <v>18</v>
      </c>
      <c r="I236">
        <v>4</v>
      </c>
      <c r="J236" t="s">
        <v>30</v>
      </c>
      <c r="K236" t="s">
        <v>24</v>
      </c>
      <c r="L236">
        <v>35</v>
      </c>
      <c r="M236" t="str">
        <f t="shared" si="3"/>
        <v>Middle_Age 31-54</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Middle_Age 31-54</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Middle_Age 31-54</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Middle_Age 31-54</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Middle_Age 31-54</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Middle_Age 31-54</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39</v>
      </c>
      <c r="D246" s="3">
        <v>120000</v>
      </c>
      <c r="E246">
        <v>3</v>
      </c>
      <c r="F246" t="s">
        <v>13</v>
      </c>
      <c r="G246" t="s">
        <v>28</v>
      </c>
      <c r="H246" t="s">
        <v>18</v>
      </c>
      <c r="I246">
        <v>2</v>
      </c>
      <c r="J246" t="s">
        <v>30</v>
      </c>
      <c r="K246" t="s">
        <v>17</v>
      </c>
      <c r="L246">
        <v>52</v>
      </c>
      <c r="M246" t="str">
        <f t="shared" si="3"/>
        <v>Middle_Age 31-54</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Middle_Age 31-54</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Middle_Age 31-54</v>
      </c>
      <c r="N248" t="s">
        <v>15</v>
      </c>
    </row>
    <row r="249" spans="1:14" x14ac:dyDescent="0.3">
      <c r="A249">
        <v>21568</v>
      </c>
      <c r="B249" t="s">
        <v>36</v>
      </c>
      <c r="C249" t="s">
        <v>39</v>
      </c>
      <c r="D249" s="3">
        <v>100000</v>
      </c>
      <c r="E249">
        <v>0</v>
      </c>
      <c r="F249" t="s">
        <v>27</v>
      </c>
      <c r="G249" t="s">
        <v>28</v>
      </c>
      <c r="H249" t="s">
        <v>15</v>
      </c>
      <c r="I249">
        <v>4</v>
      </c>
      <c r="J249" t="s">
        <v>30</v>
      </c>
      <c r="K249" t="s">
        <v>24</v>
      </c>
      <c r="L249">
        <v>34</v>
      </c>
      <c r="M249" t="str">
        <f t="shared" si="3"/>
        <v>Middle_Age 31-54</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Middle_Age 31-54</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Middle_Age 31-54</v>
      </c>
      <c r="N254" t="s">
        <v>18</v>
      </c>
    </row>
    <row r="255" spans="1:14" x14ac:dyDescent="0.3">
      <c r="A255">
        <v>20598</v>
      </c>
      <c r="B255" t="s">
        <v>36</v>
      </c>
      <c r="C255" t="s">
        <v>38</v>
      </c>
      <c r="D255" s="3">
        <v>100000</v>
      </c>
      <c r="E255">
        <v>3</v>
      </c>
      <c r="F255" t="s">
        <v>29</v>
      </c>
      <c r="G255" t="s">
        <v>21</v>
      </c>
      <c r="H255" t="s">
        <v>15</v>
      </c>
      <c r="I255">
        <v>0</v>
      </c>
      <c r="J255" t="s">
        <v>30</v>
      </c>
      <c r="K255" t="s">
        <v>17</v>
      </c>
      <c r="L255">
        <v>59</v>
      </c>
      <c r="M255" t="str">
        <f t="shared" si="3"/>
        <v>Old 55+</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Middle_Age 31-54</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Middle_Age 31-54</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IF(L259&lt;31,"Adolescent 0-30",IF(L259&lt;55,"Middle_Age 31-54","Old 55+"))</f>
        <v>Middle_Age 31-54</v>
      </c>
      <c r="N259" t="s">
        <v>15</v>
      </c>
    </row>
    <row r="260" spans="1:14" x14ac:dyDescent="0.3">
      <c r="A260">
        <v>14193</v>
      </c>
      <c r="B260" t="s">
        <v>37</v>
      </c>
      <c r="C260" t="s">
        <v>39</v>
      </c>
      <c r="D260" s="3">
        <v>100000</v>
      </c>
      <c r="E260">
        <v>3</v>
      </c>
      <c r="F260" t="s">
        <v>19</v>
      </c>
      <c r="G260" t="s">
        <v>28</v>
      </c>
      <c r="H260" t="s">
        <v>15</v>
      </c>
      <c r="I260">
        <v>4</v>
      </c>
      <c r="J260" t="s">
        <v>30</v>
      </c>
      <c r="K260" t="s">
        <v>17</v>
      </c>
      <c r="L260">
        <v>56</v>
      </c>
      <c r="M260" t="str">
        <f t="shared" si="4"/>
        <v>Old 55+</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Middle_Age 31-54</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Middle_Age 31-54</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Middle_Age 31-54</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Middle_Age 31-54</v>
      </c>
      <c r="N264" t="s">
        <v>18</v>
      </c>
    </row>
    <row r="265" spans="1:14" x14ac:dyDescent="0.3">
      <c r="A265">
        <v>23419</v>
      </c>
      <c r="B265" t="s">
        <v>37</v>
      </c>
      <c r="C265" t="s">
        <v>39</v>
      </c>
      <c r="D265" s="3">
        <v>70000</v>
      </c>
      <c r="E265">
        <v>5</v>
      </c>
      <c r="F265" t="s">
        <v>13</v>
      </c>
      <c r="G265" t="s">
        <v>21</v>
      </c>
      <c r="H265" t="s">
        <v>15</v>
      </c>
      <c r="I265">
        <v>3</v>
      </c>
      <c r="J265" t="s">
        <v>30</v>
      </c>
      <c r="K265" t="s">
        <v>24</v>
      </c>
      <c r="L265">
        <v>39</v>
      </c>
      <c r="M265" t="str">
        <f t="shared" si="4"/>
        <v>Middle_Age 31-54</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Middle_Age 31-54</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Middle_Age 31-54</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Middle_Age 31-54</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Middle_Age 31-54</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Middle_Age 31-54</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Middle_Age 31-54</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Middle_Age 31-54</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Middle_Age 31-54</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Middle_Age 31-54</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Middle_Age 31-54</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Middle_Age 31-54</v>
      </c>
      <c r="N279" t="s">
        <v>15</v>
      </c>
    </row>
    <row r="280" spans="1:14" x14ac:dyDescent="0.3">
      <c r="A280">
        <v>20625</v>
      </c>
      <c r="B280" t="s">
        <v>36</v>
      </c>
      <c r="C280" t="s">
        <v>38</v>
      </c>
      <c r="D280" s="3">
        <v>100000</v>
      </c>
      <c r="E280">
        <v>0</v>
      </c>
      <c r="F280" t="s">
        <v>27</v>
      </c>
      <c r="G280" t="s">
        <v>28</v>
      </c>
      <c r="H280" t="s">
        <v>15</v>
      </c>
      <c r="I280">
        <v>3</v>
      </c>
      <c r="J280" t="s">
        <v>30</v>
      </c>
      <c r="K280" t="s">
        <v>24</v>
      </c>
      <c r="L280">
        <v>35</v>
      </c>
      <c r="M280" t="str">
        <f t="shared" si="4"/>
        <v>Middle_Age 31-54</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Middle_Age 31-54</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Middle_Age 31-54</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Middle_Age 31-54</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Middle_Age 31-54</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Middle_Age 31-54</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Middle_Age 31-54</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Middle_Age 31-54</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Middle_Age 31-54</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Middle_Age 31-54</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Middle_Age 31-54</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Middle_Age 31-54</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Middle_Age 31-54</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Middle_Age 31-54</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Middle_Age 31-54</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Middle_Age 31-54</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Middle_Age 31-54</v>
      </c>
      <c r="N296" t="s">
        <v>15</v>
      </c>
    </row>
    <row r="297" spans="1:14" x14ac:dyDescent="0.3">
      <c r="A297">
        <v>21557</v>
      </c>
      <c r="B297" t="s">
        <v>37</v>
      </c>
      <c r="C297" t="s">
        <v>39</v>
      </c>
      <c r="D297" s="3">
        <v>110000</v>
      </c>
      <c r="E297">
        <v>0</v>
      </c>
      <c r="F297" t="s">
        <v>19</v>
      </c>
      <c r="G297" t="s">
        <v>28</v>
      </c>
      <c r="H297" t="s">
        <v>15</v>
      </c>
      <c r="I297">
        <v>3</v>
      </c>
      <c r="J297" t="s">
        <v>30</v>
      </c>
      <c r="K297" t="s">
        <v>24</v>
      </c>
      <c r="L297">
        <v>32</v>
      </c>
      <c r="M297" t="str">
        <f t="shared" si="4"/>
        <v>Middle_Age 31-54</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Middle_Age 31-54</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Middle_Age 31-54</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Middle_Age 31-54</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Middle_Age 31-54</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Middle_Age 31-54</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Middle_Age 31-54</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Middle_Age 31-54</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Middle_Age 31-54</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Middle_Age 31-54</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Middle_Age 31-54</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Middle_Age 31-54</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Middle_Age 31-54</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Middle_Age 31-54</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Middle_Age 31-54</v>
      </c>
      <c r="N319" t="s">
        <v>15</v>
      </c>
    </row>
    <row r="320" spans="1:14" x14ac:dyDescent="0.3">
      <c r="A320">
        <v>19066</v>
      </c>
      <c r="B320" t="s">
        <v>36</v>
      </c>
      <c r="C320" t="s">
        <v>38</v>
      </c>
      <c r="D320" s="3">
        <v>130000</v>
      </c>
      <c r="E320">
        <v>4</v>
      </c>
      <c r="F320" t="s">
        <v>19</v>
      </c>
      <c r="G320" t="s">
        <v>21</v>
      </c>
      <c r="H320" t="s">
        <v>18</v>
      </c>
      <c r="I320">
        <v>3</v>
      </c>
      <c r="J320" t="s">
        <v>30</v>
      </c>
      <c r="K320" t="s">
        <v>17</v>
      </c>
      <c r="L320">
        <v>54</v>
      </c>
      <c r="M320" t="str">
        <f t="shared" si="4"/>
        <v>Middle_Age 31-54</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Middle_Age 31-54</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Middle_Age 31-54</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IF(L323&lt;31,"Adolescent 0-30",IF(L323&lt;55,"Middle_Age 31-54","Old 55+"))</f>
        <v>Middle_Age 31-54</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Middle_Age 31-54</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Middle_Age 31-54</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Middle_Age 31-54</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Middle_Age 31-54</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Middle_Age 31-54</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Middle_Age 31-54</v>
      </c>
      <c r="N330" t="s">
        <v>18</v>
      </c>
    </row>
    <row r="331" spans="1:14" x14ac:dyDescent="0.3">
      <c r="A331">
        <v>12663</v>
      </c>
      <c r="B331" t="s">
        <v>36</v>
      </c>
      <c r="C331" t="s">
        <v>39</v>
      </c>
      <c r="D331" s="3">
        <v>90000</v>
      </c>
      <c r="E331">
        <v>5</v>
      </c>
      <c r="F331" t="s">
        <v>29</v>
      </c>
      <c r="G331" t="s">
        <v>14</v>
      </c>
      <c r="H331" t="s">
        <v>15</v>
      </c>
      <c r="I331">
        <v>2</v>
      </c>
      <c r="J331" t="s">
        <v>30</v>
      </c>
      <c r="K331" t="s">
        <v>17</v>
      </c>
      <c r="L331">
        <v>59</v>
      </c>
      <c r="M331" t="str">
        <f t="shared" si="5"/>
        <v>Old 55+</v>
      </c>
      <c r="N331" t="s">
        <v>18</v>
      </c>
    </row>
    <row r="332" spans="1:14" x14ac:dyDescent="0.3">
      <c r="A332">
        <v>24898</v>
      </c>
      <c r="B332" t="s">
        <v>37</v>
      </c>
      <c r="C332" t="s">
        <v>39</v>
      </c>
      <c r="D332" s="3">
        <v>80000</v>
      </c>
      <c r="E332">
        <v>0</v>
      </c>
      <c r="F332" t="s">
        <v>13</v>
      </c>
      <c r="G332" t="s">
        <v>21</v>
      </c>
      <c r="H332" t="s">
        <v>15</v>
      </c>
      <c r="I332">
        <v>3</v>
      </c>
      <c r="J332" t="s">
        <v>30</v>
      </c>
      <c r="K332" t="s">
        <v>24</v>
      </c>
      <c r="L332">
        <v>32</v>
      </c>
      <c r="M332" t="str">
        <f t="shared" si="5"/>
        <v>Middle_Age 31-54</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Middle_Age 31-54</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Middle_Age 31-54</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Middle_Age 31-54</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Middle_Age 31-54</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Middle_Age 31-54</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Middle_Age 31-54</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Middle_Age 31-54</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Middle_Age 31-54</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Middle_Age 31-54</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Middle_Age 31-54</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Middle_Age 31-54</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Middle_Age 31-54</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Middle_Age 31-54</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Middle_Age 31-54</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Middle_Age 31-54</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Middle_Age 31-54</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Middle_Age 31-54</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Middle_Age 31-54</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Middle_Age 31-54</v>
      </c>
      <c r="N356" t="s">
        <v>18</v>
      </c>
    </row>
    <row r="357" spans="1:14" x14ac:dyDescent="0.3">
      <c r="A357">
        <v>17238</v>
      </c>
      <c r="B357" t="s">
        <v>37</v>
      </c>
      <c r="C357" t="s">
        <v>38</v>
      </c>
      <c r="D357" s="3">
        <v>80000</v>
      </c>
      <c r="E357">
        <v>0</v>
      </c>
      <c r="F357" t="s">
        <v>13</v>
      </c>
      <c r="G357" t="s">
        <v>21</v>
      </c>
      <c r="H357" t="s">
        <v>15</v>
      </c>
      <c r="I357">
        <v>3</v>
      </c>
      <c r="J357" t="s">
        <v>30</v>
      </c>
      <c r="K357" t="s">
        <v>24</v>
      </c>
      <c r="L357">
        <v>32</v>
      </c>
      <c r="M357" t="str">
        <f t="shared" si="5"/>
        <v>Middle_Age 31-54</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Middle_Age 31-54</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Middle_Age 31-54</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38</v>
      </c>
      <c r="D361" s="3">
        <v>80000</v>
      </c>
      <c r="E361">
        <v>0</v>
      </c>
      <c r="F361" t="s">
        <v>13</v>
      </c>
      <c r="G361" t="s">
        <v>21</v>
      </c>
      <c r="H361" t="s">
        <v>15</v>
      </c>
      <c r="I361">
        <v>3</v>
      </c>
      <c r="J361" t="s">
        <v>30</v>
      </c>
      <c r="K361" t="s">
        <v>24</v>
      </c>
      <c r="L361">
        <v>30</v>
      </c>
      <c r="M361" t="str">
        <f t="shared" si="5"/>
        <v>Adolescent 0-30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Middle_Age 31-54</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Middle_Age 31-54</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Middle_Age 31-54</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Middle_Age 31-54</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Middle_Age 31-54</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Middle_Age 31-54</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Middle_Age 31-54</v>
      </c>
      <c r="N371" t="s">
        <v>15</v>
      </c>
    </row>
    <row r="372" spans="1:14" x14ac:dyDescent="0.3">
      <c r="A372">
        <v>17324</v>
      </c>
      <c r="B372" t="s">
        <v>36</v>
      </c>
      <c r="C372" t="s">
        <v>39</v>
      </c>
      <c r="D372" s="3">
        <v>100000</v>
      </c>
      <c r="E372">
        <v>4</v>
      </c>
      <c r="F372" t="s">
        <v>13</v>
      </c>
      <c r="G372" t="s">
        <v>21</v>
      </c>
      <c r="H372" t="s">
        <v>15</v>
      </c>
      <c r="I372">
        <v>1</v>
      </c>
      <c r="J372" t="s">
        <v>30</v>
      </c>
      <c r="K372" t="s">
        <v>24</v>
      </c>
      <c r="L372">
        <v>46</v>
      </c>
      <c r="M372" t="str">
        <f t="shared" si="5"/>
        <v>Middle_Age 31-54</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Middle_Age 31-54</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Middle_Age 31-54</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Middle_Age 31-54</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Middle_Age 31-54</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Middle_Age 31-54</v>
      </c>
      <c r="N381" t="s">
        <v>18</v>
      </c>
    </row>
    <row r="382" spans="1:14" x14ac:dyDescent="0.3">
      <c r="A382">
        <v>13620</v>
      </c>
      <c r="B382" t="s">
        <v>37</v>
      </c>
      <c r="C382" t="s">
        <v>38</v>
      </c>
      <c r="D382" s="3">
        <v>70000</v>
      </c>
      <c r="E382">
        <v>0</v>
      </c>
      <c r="F382" t="s">
        <v>13</v>
      </c>
      <c r="G382" t="s">
        <v>21</v>
      </c>
      <c r="H382" t="s">
        <v>18</v>
      </c>
      <c r="I382">
        <v>3</v>
      </c>
      <c r="J382" t="s">
        <v>30</v>
      </c>
      <c r="K382" t="s">
        <v>24</v>
      </c>
      <c r="L382">
        <v>30</v>
      </c>
      <c r="M382" t="str">
        <f t="shared" si="5"/>
        <v>Adolescent 0-30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38</v>
      </c>
      <c r="D384" s="3">
        <v>80000</v>
      </c>
      <c r="E384">
        <v>4</v>
      </c>
      <c r="F384" t="s">
        <v>19</v>
      </c>
      <c r="G384" t="s">
        <v>21</v>
      </c>
      <c r="H384" t="s">
        <v>15</v>
      </c>
      <c r="I384">
        <v>2</v>
      </c>
      <c r="J384" t="s">
        <v>30</v>
      </c>
      <c r="K384" t="s">
        <v>17</v>
      </c>
      <c r="L384">
        <v>53</v>
      </c>
      <c r="M384" t="str">
        <f t="shared" si="5"/>
        <v>Middle_Age 31-54</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Middle_Age 31-54</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IF(L387&lt;31,"Adolescent 0-30",IF(L387&lt;55,"Middle_Age 31-54","Old 55+"))</f>
        <v>Middle_Age 31-54</v>
      </c>
      <c r="N387" t="s">
        <v>18</v>
      </c>
    </row>
    <row r="388" spans="1:14" x14ac:dyDescent="0.3">
      <c r="A388">
        <v>28957</v>
      </c>
      <c r="B388" t="s">
        <v>37</v>
      </c>
      <c r="C388" t="s">
        <v>39</v>
      </c>
      <c r="D388" s="3">
        <v>120000</v>
      </c>
      <c r="E388">
        <v>0</v>
      </c>
      <c r="F388" t="s">
        <v>29</v>
      </c>
      <c r="G388" t="s">
        <v>21</v>
      </c>
      <c r="H388" t="s">
        <v>15</v>
      </c>
      <c r="I388">
        <v>4</v>
      </c>
      <c r="J388" t="s">
        <v>30</v>
      </c>
      <c r="K388" t="s">
        <v>24</v>
      </c>
      <c r="L388">
        <v>34</v>
      </c>
      <c r="M388" t="str">
        <f t="shared" si="6"/>
        <v>Middle_Age 31-54</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Middle_Age 31-54</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Middle_Age 31-54</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Middle_Age 31-54</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Middle_Age 31-54</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Middle_Age 31-54</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Middle_Age 31-54</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Middle_Age 31-54</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Middle_Age 31-54</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Middle_Age 31-54</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Middle_Age 31-54</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Middle_Age 31-54</v>
      </c>
      <c r="N401" t="s">
        <v>15</v>
      </c>
    </row>
    <row r="402" spans="1:14" x14ac:dyDescent="0.3">
      <c r="A402">
        <v>25792</v>
      </c>
      <c r="B402" t="s">
        <v>37</v>
      </c>
      <c r="C402" t="s">
        <v>39</v>
      </c>
      <c r="D402" s="3">
        <v>110000</v>
      </c>
      <c r="E402">
        <v>3</v>
      </c>
      <c r="F402" t="s">
        <v>13</v>
      </c>
      <c r="G402" t="s">
        <v>28</v>
      </c>
      <c r="H402" t="s">
        <v>15</v>
      </c>
      <c r="I402">
        <v>4</v>
      </c>
      <c r="J402" t="s">
        <v>30</v>
      </c>
      <c r="K402" t="s">
        <v>17</v>
      </c>
      <c r="L402">
        <v>53</v>
      </c>
      <c r="M402" t="str">
        <f t="shared" si="6"/>
        <v>Middle_Age 31-54</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Middle_Age 31-54</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Middle_Age 31-54</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Middle_Age 31-54</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Middle_Age 31-54</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Middle_Age 31-54</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Middle_Age 31-54</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Middle_Age 31-54</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Middle_Age 31-54</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Middle_Age 31-54</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Middle_Age 31-54</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Middle_Age 31-54</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Middle_Age 31-54</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Middle_Age 31-54</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Middle_Age 31-54</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Middle_Age 31-54</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Middle_Age 31-54</v>
      </c>
      <c r="N421" t="s">
        <v>15</v>
      </c>
    </row>
    <row r="422" spans="1:14" x14ac:dyDescent="0.3">
      <c r="A422">
        <v>18153</v>
      </c>
      <c r="B422" t="s">
        <v>36</v>
      </c>
      <c r="C422" t="s">
        <v>39</v>
      </c>
      <c r="D422" s="3">
        <v>100000</v>
      </c>
      <c r="E422">
        <v>2</v>
      </c>
      <c r="F422" t="s">
        <v>13</v>
      </c>
      <c r="G422" t="s">
        <v>28</v>
      </c>
      <c r="H422" t="s">
        <v>15</v>
      </c>
      <c r="I422">
        <v>4</v>
      </c>
      <c r="J422" t="s">
        <v>30</v>
      </c>
      <c r="K422" t="s">
        <v>17</v>
      </c>
      <c r="L422">
        <v>59</v>
      </c>
      <c r="M422" t="str">
        <f t="shared" si="6"/>
        <v>Old 55+</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Middle_Age 31-54</v>
      </c>
      <c r="N423" t="s">
        <v>18</v>
      </c>
    </row>
    <row r="424" spans="1:14" x14ac:dyDescent="0.3">
      <c r="A424">
        <v>24901</v>
      </c>
      <c r="B424" t="s">
        <v>37</v>
      </c>
      <c r="C424" t="s">
        <v>38</v>
      </c>
      <c r="D424" s="3">
        <v>110000</v>
      </c>
      <c r="E424">
        <v>0</v>
      </c>
      <c r="F424" t="s">
        <v>19</v>
      </c>
      <c r="G424" t="s">
        <v>28</v>
      </c>
      <c r="H424" t="s">
        <v>18</v>
      </c>
      <c r="I424">
        <v>3</v>
      </c>
      <c r="J424" t="s">
        <v>30</v>
      </c>
      <c r="K424" t="s">
        <v>24</v>
      </c>
      <c r="L424">
        <v>32</v>
      </c>
      <c r="M424" t="str">
        <f t="shared" si="6"/>
        <v>Middle_Age 31-54</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Middle_Age 31-54</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Middle_Age 31-54</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Middle_Age 31-54</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Middle_Age 31-54</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Middle_Age 31-54</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39</v>
      </c>
      <c r="D434" s="3">
        <v>110000</v>
      </c>
      <c r="E434">
        <v>0</v>
      </c>
      <c r="F434" t="s">
        <v>27</v>
      </c>
      <c r="G434" t="s">
        <v>28</v>
      </c>
      <c r="H434" t="s">
        <v>15</v>
      </c>
      <c r="I434">
        <v>3</v>
      </c>
      <c r="J434" t="s">
        <v>30</v>
      </c>
      <c r="K434" t="s">
        <v>24</v>
      </c>
      <c r="L434">
        <v>34</v>
      </c>
      <c r="M434" t="str">
        <f t="shared" si="6"/>
        <v>Middle_Age 31-54</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Middle_Age 31-54</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Middle_Age 31-54</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Middle_Age 31-54</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Middle_Age 31-54</v>
      </c>
      <c r="N441" t="s">
        <v>18</v>
      </c>
    </row>
    <row r="442" spans="1:14" x14ac:dyDescent="0.3">
      <c r="A442">
        <v>21561</v>
      </c>
      <c r="B442" t="s">
        <v>37</v>
      </c>
      <c r="C442" t="s">
        <v>38</v>
      </c>
      <c r="D442" s="3">
        <v>90000</v>
      </c>
      <c r="E442">
        <v>0</v>
      </c>
      <c r="F442" t="s">
        <v>13</v>
      </c>
      <c r="G442" t="s">
        <v>21</v>
      </c>
      <c r="H442" t="s">
        <v>18</v>
      </c>
      <c r="I442">
        <v>3</v>
      </c>
      <c r="J442" t="s">
        <v>30</v>
      </c>
      <c r="K442" t="s">
        <v>24</v>
      </c>
      <c r="L442">
        <v>34</v>
      </c>
      <c r="M442" t="str">
        <f t="shared" si="6"/>
        <v>Middle_Age 31-54</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Middle_Age 31-54</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Middle_Age 31-54</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Middle_Age 31-54</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Middle_Age 31-54</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Middle_Age 31-54</v>
      </c>
      <c r="N447" t="s">
        <v>15</v>
      </c>
    </row>
    <row r="448" spans="1:14" x14ac:dyDescent="0.3">
      <c r="A448">
        <v>14278</v>
      </c>
      <c r="B448" t="s">
        <v>36</v>
      </c>
      <c r="C448" t="s">
        <v>39</v>
      </c>
      <c r="D448" s="3">
        <v>130000</v>
      </c>
      <c r="E448">
        <v>0</v>
      </c>
      <c r="F448" t="s">
        <v>31</v>
      </c>
      <c r="G448" t="s">
        <v>28</v>
      </c>
      <c r="H448" t="s">
        <v>15</v>
      </c>
      <c r="I448">
        <v>1</v>
      </c>
      <c r="J448" t="s">
        <v>30</v>
      </c>
      <c r="K448" t="s">
        <v>24</v>
      </c>
      <c r="L448">
        <v>48</v>
      </c>
      <c r="M448" t="str">
        <f t="shared" si="6"/>
        <v>Middle_Age 31-54</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Middle_Age 31-54</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Middle_Age 31-54</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IF(L451&lt;31,"Adolescent 0-30",IF(L451&lt;55,"Middle_Age 31-54","Old 55+"))</f>
        <v>Middle_Age 31-54</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Middle_Age 31-54</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Middle_Age 31-54</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Middle_Age 31-54</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Middle_Age 31-54</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Middle_Age 31-54</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Middle_Age 31-54</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38</v>
      </c>
      <c r="D460" s="3">
        <v>120000</v>
      </c>
      <c r="E460">
        <v>0</v>
      </c>
      <c r="F460" t="s">
        <v>29</v>
      </c>
      <c r="G460" t="s">
        <v>21</v>
      </c>
      <c r="H460" t="s">
        <v>15</v>
      </c>
      <c r="I460">
        <v>4</v>
      </c>
      <c r="J460" t="s">
        <v>30</v>
      </c>
      <c r="K460" t="s">
        <v>24</v>
      </c>
      <c r="L460">
        <v>32</v>
      </c>
      <c r="M460" t="str">
        <f t="shared" si="7"/>
        <v>Middle_Age 31-54</v>
      </c>
      <c r="N460" t="s">
        <v>15</v>
      </c>
    </row>
    <row r="461" spans="1:14" x14ac:dyDescent="0.3">
      <c r="A461">
        <v>21554</v>
      </c>
      <c r="B461" t="s">
        <v>37</v>
      </c>
      <c r="C461" t="s">
        <v>39</v>
      </c>
      <c r="D461" s="3">
        <v>80000</v>
      </c>
      <c r="E461">
        <v>0</v>
      </c>
      <c r="F461" t="s">
        <v>13</v>
      </c>
      <c r="G461" t="s">
        <v>21</v>
      </c>
      <c r="H461" t="s">
        <v>18</v>
      </c>
      <c r="I461">
        <v>3</v>
      </c>
      <c r="J461" t="s">
        <v>30</v>
      </c>
      <c r="K461" t="s">
        <v>24</v>
      </c>
      <c r="L461">
        <v>33</v>
      </c>
      <c r="M461" t="str">
        <f t="shared" si="7"/>
        <v>Middle_Age 31-54</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Middle_Age 31-54</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Middle_Age 31-54</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Middle_Age 31-54</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Middle_Age 31-54</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Middle_Age 31-54</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Middle_Age 31-54</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Middle_Age 31-54</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Middle_Age 31-54</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Middle_Age 31-54</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Middle_Age 31-54</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Middle_Age 31-54</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Middle_Age 31-54</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Middle_Age 31-54</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Middle_Age 31-54</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Middle_Age 31-54</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Middle_Age 31-54</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Middle_Age 31-54</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Middle_Age 31-54</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Middle_Age 31-54</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Middle_Age 31-54</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Middle_Age 31-54</v>
      </c>
      <c r="N487" t="s">
        <v>18</v>
      </c>
    </row>
    <row r="488" spans="1:14" x14ac:dyDescent="0.3">
      <c r="A488">
        <v>26415</v>
      </c>
      <c r="B488" t="s">
        <v>36</v>
      </c>
      <c r="C488" t="s">
        <v>39</v>
      </c>
      <c r="D488" s="3">
        <v>90000</v>
      </c>
      <c r="E488">
        <v>4</v>
      </c>
      <c r="F488" t="s">
        <v>29</v>
      </c>
      <c r="G488" t="s">
        <v>14</v>
      </c>
      <c r="H488" t="s">
        <v>15</v>
      </c>
      <c r="I488">
        <v>4</v>
      </c>
      <c r="J488" t="s">
        <v>30</v>
      </c>
      <c r="K488" t="s">
        <v>17</v>
      </c>
      <c r="L488">
        <v>58</v>
      </c>
      <c r="M488" t="str">
        <f t="shared" si="7"/>
        <v>Old 55+</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Middle_Age 31-54</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Middle_Age 31-54</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Middle_Age 31-54</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Middle_Age 31-54</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Middle_Age 31-54</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Middle_Age 31-54</v>
      </c>
      <c r="N494" t="s">
        <v>15</v>
      </c>
    </row>
    <row r="495" spans="1:14" x14ac:dyDescent="0.3">
      <c r="A495">
        <v>23707</v>
      </c>
      <c r="B495" t="s">
        <v>37</v>
      </c>
      <c r="C495" t="s">
        <v>38</v>
      </c>
      <c r="D495" s="3">
        <v>70000</v>
      </c>
      <c r="E495">
        <v>5</v>
      </c>
      <c r="F495" t="s">
        <v>13</v>
      </c>
      <c r="G495" t="s">
        <v>28</v>
      </c>
      <c r="H495" t="s">
        <v>15</v>
      </c>
      <c r="I495">
        <v>3</v>
      </c>
      <c r="J495" t="s">
        <v>30</v>
      </c>
      <c r="K495" t="s">
        <v>32</v>
      </c>
      <c r="L495">
        <v>60</v>
      </c>
      <c r="M495" t="str">
        <f t="shared" si="7"/>
        <v>Old 55+</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Middle_Age 31-54</v>
      </c>
      <c r="N496" t="s">
        <v>18</v>
      </c>
    </row>
    <row r="497" spans="1:14" x14ac:dyDescent="0.3">
      <c r="A497">
        <v>24981</v>
      </c>
      <c r="B497" t="s">
        <v>36</v>
      </c>
      <c r="C497" t="s">
        <v>38</v>
      </c>
      <c r="D497" s="3">
        <v>60000</v>
      </c>
      <c r="E497">
        <v>2</v>
      </c>
      <c r="F497" t="s">
        <v>19</v>
      </c>
      <c r="G497" t="s">
        <v>21</v>
      </c>
      <c r="H497" t="s">
        <v>15</v>
      </c>
      <c r="I497">
        <v>2</v>
      </c>
      <c r="J497" t="s">
        <v>30</v>
      </c>
      <c r="K497" t="s">
        <v>32</v>
      </c>
      <c r="L497">
        <v>56</v>
      </c>
      <c r="M497" t="str">
        <f t="shared" si="7"/>
        <v>Old 55+</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Middle_Age 31-54</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Middle_Age 31-54</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Middle_Age 31-54</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Middle_Age 31-54</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Middle_Age 31-54</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Middle_Age 31-54</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Middle_Age 31-54</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Middle_Age 31-54</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Middle_Age 31-54</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Middle_Age 31-54</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Middle_Age 31-54</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Middle_Age 31-54</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Middle_Age 31-54</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Middle_Age 31-54</v>
      </c>
      <c r="N514" t="s">
        <v>15</v>
      </c>
    </row>
    <row r="515" spans="1:14" x14ac:dyDescent="0.3">
      <c r="A515">
        <v>13353</v>
      </c>
      <c r="B515" t="s">
        <v>37</v>
      </c>
      <c r="C515" t="s">
        <v>39</v>
      </c>
      <c r="D515" s="3">
        <v>60000</v>
      </c>
      <c r="E515">
        <v>4</v>
      </c>
      <c r="F515" t="s">
        <v>31</v>
      </c>
      <c r="G515" t="s">
        <v>28</v>
      </c>
      <c r="H515" t="s">
        <v>15</v>
      </c>
      <c r="I515">
        <v>2</v>
      </c>
      <c r="J515" t="s">
        <v>30</v>
      </c>
      <c r="K515" t="s">
        <v>32</v>
      </c>
      <c r="L515">
        <v>61</v>
      </c>
      <c r="M515" t="str">
        <f t="shared" ref="M515:M578" si="8">IF(L515&lt;31,"Adolescent 0-30",IF(L515&lt;55,"Middle_Age 31-54","Old 55+"))</f>
        <v>Old 55+</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Middle_Age 31-54</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Middle_Age 31-54</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Middle_Age 31-54</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Middle_Age 31-54</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Middle_Age 31-54</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Middle_Age 31-54</v>
      </c>
      <c r="N522" t="s">
        <v>18</v>
      </c>
    </row>
    <row r="523" spans="1:14" x14ac:dyDescent="0.3">
      <c r="A523">
        <v>18976</v>
      </c>
      <c r="B523" t="s">
        <v>37</v>
      </c>
      <c r="C523" t="s">
        <v>38</v>
      </c>
      <c r="D523" s="3">
        <v>40000</v>
      </c>
      <c r="E523">
        <v>4</v>
      </c>
      <c r="F523" t="s">
        <v>27</v>
      </c>
      <c r="G523" t="s">
        <v>21</v>
      </c>
      <c r="H523" t="s">
        <v>15</v>
      </c>
      <c r="I523">
        <v>2</v>
      </c>
      <c r="J523" t="s">
        <v>30</v>
      </c>
      <c r="K523" t="s">
        <v>32</v>
      </c>
      <c r="L523">
        <v>62</v>
      </c>
      <c r="M523" t="str">
        <f t="shared" si="8"/>
        <v>Old 55+</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Middle_Age 31-54</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Middle_Age 31-54</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38</v>
      </c>
      <c r="D527" s="3">
        <v>60000</v>
      </c>
      <c r="E527">
        <v>5</v>
      </c>
      <c r="F527" t="s">
        <v>13</v>
      </c>
      <c r="G527" t="s">
        <v>28</v>
      </c>
      <c r="H527" t="s">
        <v>15</v>
      </c>
      <c r="I527">
        <v>3</v>
      </c>
      <c r="J527" t="s">
        <v>30</v>
      </c>
      <c r="K527" t="s">
        <v>32</v>
      </c>
      <c r="L527">
        <v>59</v>
      </c>
      <c r="M527" t="str">
        <f t="shared" si="8"/>
        <v>Old 55+</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Middle_Age 31-54</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Middle_Age 31-54</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38</v>
      </c>
      <c r="D531" s="3">
        <v>60000</v>
      </c>
      <c r="E531">
        <v>2</v>
      </c>
      <c r="F531" t="s">
        <v>19</v>
      </c>
      <c r="G531" t="s">
        <v>21</v>
      </c>
      <c r="H531" t="s">
        <v>15</v>
      </c>
      <c r="I531">
        <v>1</v>
      </c>
      <c r="J531" t="s">
        <v>30</v>
      </c>
      <c r="K531" t="s">
        <v>32</v>
      </c>
      <c r="L531">
        <v>57</v>
      </c>
      <c r="M531" t="str">
        <f t="shared" si="8"/>
        <v>Old 55+</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Middle_Age 31-54</v>
      </c>
      <c r="N534" t="s">
        <v>15</v>
      </c>
    </row>
    <row r="535" spans="1:14" x14ac:dyDescent="0.3">
      <c r="A535">
        <v>24941</v>
      </c>
      <c r="B535" t="s">
        <v>36</v>
      </c>
      <c r="C535" t="s">
        <v>38</v>
      </c>
      <c r="D535" s="3">
        <v>60000</v>
      </c>
      <c r="E535">
        <v>3</v>
      </c>
      <c r="F535" t="s">
        <v>13</v>
      </c>
      <c r="G535" t="s">
        <v>28</v>
      </c>
      <c r="H535" t="s">
        <v>15</v>
      </c>
      <c r="I535">
        <v>2</v>
      </c>
      <c r="J535" t="s">
        <v>30</v>
      </c>
      <c r="K535" t="s">
        <v>32</v>
      </c>
      <c r="L535">
        <v>66</v>
      </c>
      <c r="M535" t="str">
        <f t="shared" si="8"/>
        <v>Old 55+</v>
      </c>
      <c r="N535" t="s">
        <v>18</v>
      </c>
    </row>
    <row r="536" spans="1:14" x14ac:dyDescent="0.3">
      <c r="A536">
        <v>24637</v>
      </c>
      <c r="B536" t="s">
        <v>36</v>
      </c>
      <c r="C536" t="s">
        <v>38</v>
      </c>
      <c r="D536" s="3">
        <v>40000</v>
      </c>
      <c r="E536">
        <v>4</v>
      </c>
      <c r="F536" t="s">
        <v>27</v>
      </c>
      <c r="G536" t="s">
        <v>21</v>
      </c>
      <c r="H536" t="s">
        <v>15</v>
      </c>
      <c r="I536">
        <v>2</v>
      </c>
      <c r="J536" t="s">
        <v>30</v>
      </c>
      <c r="K536" t="s">
        <v>32</v>
      </c>
      <c r="L536">
        <v>64</v>
      </c>
      <c r="M536" t="str">
        <f t="shared" si="8"/>
        <v>Old 55+</v>
      </c>
      <c r="N536" t="s">
        <v>18</v>
      </c>
    </row>
    <row r="537" spans="1:14" x14ac:dyDescent="0.3">
      <c r="A537">
        <v>23893</v>
      </c>
      <c r="B537" t="s">
        <v>36</v>
      </c>
      <c r="C537" t="s">
        <v>38</v>
      </c>
      <c r="D537" s="3">
        <v>50000</v>
      </c>
      <c r="E537">
        <v>3</v>
      </c>
      <c r="F537" t="s">
        <v>13</v>
      </c>
      <c r="G537" t="s">
        <v>14</v>
      </c>
      <c r="H537" t="s">
        <v>15</v>
      </c>
      <c r="I537">
        <v>3</v>
      </c>
      <c r="J537" t="s">
        <v>30</v>
      </c>
      <c r="K537" t="s">
        <v>32</v>
      </c>
      <c r="L537">
        <v>41</v>
      </c>
      <c r="M537" t="str">
        <f t="shared" si="8"/>
        <v>Middle_Age 31-54</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Middle_Age 31-54</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Middle_Age 31-54</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Middle_Age 31-54</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Middle_Age 31-54</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Middle_Age 31-54</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Middle_Age 31-54</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Middle_Age 31-54</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Middle_Age 31-54</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Middle_Age 31-54</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Middle_Age 31-54</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Middle_Age 31-54</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Middle_Age 31-54</v>
      </c>
      <c r="N552" t="s">
        <v>15</v>
      </c>
    </row>
    <row r="553" spans="1:14" x14ac:dyDescent="0.3">
      <c r="A553">
        <v>27393</v>
      </c>
      <c r="B553" t="s">
        <v>36</v>
      </c>
      <c r="C553" t="s">
        <v>39</v>
      </c>
      <c r="D553" s="3">
        <v>50000</v>
      </c>
      <c r="E553">
        <v>4</v>
      </c>
      <c r="F553" t="s">
        <v>13</v>
      </c>
      <c r="G553" t="s">
        <v>28</v>
      </c>
      <c r="H553" t="s">
        <v>15</v>
      </c>
      <c r="I553">
        <v>2</v>
      </c>
      <c r="J553" t="s">
        <v>30</v>
      </c>
      <c r="K553" t="s">
        <v>32</v>
      </c>
      <c r="L553">
        <v>63</v>
      </c>
      <c r="M553" t="str">
        <f t="shared" si="8"/>
        <v>Old 55+</v>
      </c>
      <c r="N553" t="s">
        <v>18</v>
      </c>
    </row>
    <row r="554" spans="1:14" x14ac:dyDescent="0.3">
      <c r="A554">
        <v>14417</v>
      </c>
      <c r="B554" t="s">
        <v>37</v>
      </c>
      <c r="C554" t="s">
        <v>38</v>
      </c>
      <c r="D554" s="3">
        <v>60000</v>
      </c>
      <c r="E554">
        <v>3</v>
      </c>
      <c r="F554" t="s">
        <v>27</v>
      </c>
      <c r="G554" t="s">
        <v>21</v>
      </c>
      <c r="H554" t="s">
        <v>15</v>
      </c>
      <c r="I554">
        <v>2</v>
      </c>
      <c r="J554" t="s">
        <v>30</v>
      </c>
      <c r="K554" t="s">
        <v>32</v>
      </c>
      <c r="L554">
        <v>54</v>
      </c>
      <c r="M554" t="str">
        <f t="shared" si="8"/>
        <v>Middle_Age 31-54</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Middle_Age 31-54</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Middle_Age 31-54</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Middle_Age 31-54</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Middle_Age 31-54</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Middle_Age 31-54</v>
      </c>
      <c r="N560" t="s">
        <v>18</v>
      </c>
    </row>
    <row r="561" spans="1:14" x14ac:dyDescent="0.3">
      <c r="A561">
        <v>15895</v>
      </c>
      <c r="B561" t="s">
        <v>37</v>
      </c>
      <c r="C561" t="s">
        <v>39</v>
      </c>
      <c r="D561" s="3">
        <v>60000</v>
      </c>
      <c r="E561">
        <v>2</v>
      </c>
      <c r="F561" t="s">
        <v>13</v>
      </c>
      <c r="G561" t="s">
        <v>28</v>
      </c>
      <c r="H561" t="s">
        <v>15</v>
      </c>
      <c r="I561">
        <v>0</v>
      </c>
      <c r="J561" t="s">
        <v>30</v>
      </c>
      <c r="K561" t="s">
        <v>32</v>
      </c>
      <c r="L561">
        <v>58</v>
      </c>
      <c r="M561" t="str">
        <f t="shared" si="8"/>
        <v>Old 55+</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Middle_Age 31-54</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Middle_Age 31-54</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Middle_Age 31-54</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Middle_Age 31-54</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Middle_Age 31-54</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Middle_Age 31-54</v>
      </c>
      <c r="N570" t="s">
        <v>15</v>
      </c>
    </row>
    <row r="571" spans="1:14" x14ac:dyDescent="0.3">
      <c r="A571">
        <v>26452</v>
      </c>
      <c r="B571" t="s">
        <v>37</v>
      </c>
      <c r="C571" t="s">
        <v>38</v>
      </c>
      <c r="D571" s="3">
        <v>50000</v>
      </c>
      <c r="E571">
        <v>3</v>
      </c>
      <c r="F571" t="s">
        <v>31</v>
      </c>
      <c r="G571" t="s">
        <v>28</v>
      </c>
      <c r="H571" t="s">
        <v>15</v>
      </c>
      <c r="I571">
        <v>2</v>
      </c>
      <c r="J571" t="s">
        <v>30</v>
      </c>
      <c r="K571" t="s">
        <v>32</v>
      </c>
      <c r="L571">
        <v>69</v>
      </c>
      <c r="M571" t="str">
        <f t="shared" si="8"/>
        <v>Old 55+</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Middle_Age 31-54</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Middle_Age 31-54</v>
      </c>
      <c r="N576" t="s">
        <v>15</v>
      </c>
    </row>
    <row r="577" spans="1:14" x14ac:dyDescent="0.3">
      <c r="A577">
        <v>13388</v>
      </c>
      <c r="B577" t="s">
        <v>37</v>
      </c>
      <c r="C577" t="s">
        <v>38</v>
      </c>
      <c r="D577" s="3">
        <v>60000</v>
      </c>
      <c r="E577">
        <v>2</v>
      </c>
      <c r="F577" t="s">
        <v>19</v>
      </c>
      <c r="G577" t="s">
        <v>21</v>
      </c>
      <c r="H577" t="s">
        <v>15</v>
      </c>
      <c r="I577">
        <v>1</v>
      </c>
      <c r="J577" t="s">
        <v>30</v>
      </c>
      <c r="K577" t="s">
        <v>32</v>
      </c>
      <c r="L577">
        <v>56</v>
      </c>
      <c r="M577" t="str">
        <f t="shared" si="8"/>
        <v>Old 55+</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Middle_Age 31-54</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IF(L579&lt;31,"Adolescent 0-30",IF(L579&lt;55,"Middle_Age 31-54","Old 55+"))</f>
        <v>Middle_Age 31-54</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Middle_Age 31-54</v>
      </c>
      <c r="N581" t="s">
        <v>18</v>
      </c>
    </row>
    <row r="582" spans="1:14" x14ac:dyDescent="0.3">
      <c r="A582">
        <v>20380</v>
      </c>
      <c r="B582" t="s">
        <v>36</v>
      </c>
      <c r="C582" t="s">
        <v>39</v>
      </c>
      <c r="D582" s="3">
        <v>60000</v>
      </c>
      <c r="E582">
        <v>3</v>
      </c>
      <c r="F582" t="s">
        <v>31</v>
      </c>
      <c r="G582" t="s">
        <v>28</v>
      </c>
      <c r="H582" t="s">
        <v>15</v>
      </c>
      <c r="I582">
        <v>2</v>
      </c>
      <c r="J582" t="s">
        <v>30</v>
      </c>
      <c r="K582" t="s">
        <v>32</v>
      </c>
      <c r="L582">
        <v>69</v>
      </c>
      <c r="M582" t="str">
        <f t="shared" si="9"/>
        <v>Old 55+</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Middle_Age 31-54</v>
      </c>
      <c r="N584" t="s">
        <v>18</v>
      </c>
    </row>
    <row r="585" spans="1:14" x14ac:dyDescent="0.3">
      <c r="A585">
        <v>24943</v>
      </c>
      <c r="B585" t="s">
        <v>36</v>
      </c>
      <c r="C585" t="s">
        <v>38</v>
      </c>
      <c r="D585" s="3">
        <v>60000</v>
      </c>
      <c r="E585">
        <v>3</v>
      </c>
      <c r="F585" t="s">
        <v>13</v>
      </c>
      <c r="G585" t="s">
        <v>28</v>
      </c>
      <c r="H585" t="s">
        <v>15</v>
      </c>
      <c r="I585">
        <v>2</v>
      </c>
      <c r="J585" t="s">
        <v>30</v>
      </c>
      <c r="K585" t="s">
        <v>32</v>
      </c>
      <c r="L585">
        <v>66</v>
      </c>
      <c r="M585" t="str">
        <f t="shared" si="9"/>
        <v>Old 55+</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Middle_Age 31-54</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Middle_Age 31-54</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Middle_Age 31-54</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Middle_Age 31-54</v>
      </c>
      <c r="N589" t="s">
        <v>18</v>
      </c>
    </row>
    <row r="590" spans="1:14" x14ac:dyDescent="0.3">
      <c r="A590">
        <v>16871</v>
      </c>
      <c r="B590" t="s">
        <v>36</v>
      </c>
      <c r="C590" t="s">
        <v>39</v>
      </c>
      <c r="D590" s="3">
        <v>90000</v>
      </c>
      <c r="E590">
        <v>2</v>
      </c>
      <c r="F590" t="s">
        <v>27</v>
      </c>
      <c r="G590" t="s">
        <v>21</v>
      </c>
      <c r="H590" t="s">
        <v>15</v>
      </c>
      <c r="I590">
        <v>1</v>
      </c>
      <c r="J590" t="s">
        <v>30</v>
      </c>
      <c r="K590" t="s">
        <v>32</v>
      </c>
      <c r="L590">
        <v>51</v>
      </c>
      <c r="M590" t="str">
        <f t="shared" si="9"/>
        <v>Middle_Age 31-54</v>
      </c>
      <c r="N590" t="s">
        <v>15</v>
      </c>
    </row>
    <row r="591" spans="1:14" x14ac:dyDescent="0.3">
      <c r="A591">
        <v>12100</v>
      </c>
      <c r="B591" t="s">
        <v>37</v>
      </c>
      <c r="C591" t="s">
        <v>38</v>
      </c>
      <c r="D591" s="3">
        <v>60000</v>
      </c>
      <c r="E591">
        <v>2</v>
      </c>
      <c r="F591" t="s">
        <v>13</v>
      </c>
      <c r="G591" t="s">
        <v>28</v>
      </c>
      <c r="H591" t="s">
        <v>15</v>
      </c>
      <c r="I591">
        <v>0</v>
      </c>
      <c r="J591" t="s">
        <v>30</v>
      </c>
      <c r="K591" t="s">
        <v>32</v>
      </c>
      <c r="L591">
        <v>57</v>
      </c>
      <c r="M591" t="str">
        <f t="shared" si="9"/>
        <v>Old 55+</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Middle_Age 31-54</v>
      </c>
      <c r="N592" t="s">
        <v>15</v>
      </c>
    </row>
    <row r="593" spans="1:14" x14ac:dyDescent="0.3">
      <c r="A593">
        <v>18545</v>
      </c>
      <c r="B593" t="s">
        <v>36</v>
      </c>
      <c r="C593" t="s">
        <v>38</v>
      </c>
      <c r="D593" s="3">
        <v>40000</v>
      </c>
      <c r="E593">
        <v>4</v>
      </c>
      <c r="F593" t="s">
        <v>27</v>
      </c>
      <c r="G593" t="s">
        <v>21</v>
      </c>
      <c r="H593" t="s">
        <v>18</v>
      </c>
      <c r="I593">
        <v>2</v>
      </c>
      <c r="J593" t="s">
        <v>30</v>
      </c>
      <c r="K593" t="s">
        <v>32</v>
      </c>
      <c r="L593">
        <v>61</v>
      </c>
      <c r="M593" t="str">
        <f t="shared" si="9"/>
        <v>Old 55+</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Middle_Age 31-54</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Middle_Age 31-54</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Middle_Age 31-54</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Middle_Age 31-54</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Middle_Age 31-54</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Middle_Age 31-54</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Middle_Age 31-54</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Middle_Age 31-54</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Middle_Age 31-54</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Middle_Age 31-54</v>
      </c>
      <c r="N608" t="s">
        <v>18</v>
      </c>
    </row>
    <row r="609" spans="1:14" x14ac:dyDescent="0.3">
      <c r="A609">
        <v>16145</v>
      </c>
      <c r="B609" t="s">
        <v>37</v>
      </c>
      <c r="C609" t="s">
        <v>39</v>
      </c>
      <c r="D609" s="3">
        <v>70000</v>
      </c>
      <c r="E609">
        <v>5</v>
      </c>
      <c r="F609" t="s">
        <v>31</v>
      </c>
      <c r="G609" t="s">
        <v>21</v>
      </c>
      <c r="H609" t="s">
        <v>15</v>
      </c>
      <c r="I609">
        <v>3</v>
      </c>
      <c r="J609" t="s">
        <v>30</v>
      </c>
      <c r="K609" t="s">
        <v>32</v>
      </c>
      <c r="L609">
        <v>46</v>
      </c>
      <c r="M609" t="str">
        <f t="shared" si="9"/>
        <v>Middle_Age 31-54</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Middle_Age 31-54</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Middle_Age 31-54</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Middle_Age 31-54</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Middle_Age 31-54</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Middle_Age 31-54</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Middle_Age 31-54</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Middle_Age 31-54</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Middle_Age 31-54</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Middle_Age 31-54</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Middle_Age 31-54</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Middle_Age 31-54</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Middle_Age 31-54</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Middle_Age 31-54</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Middle_Age 31-54</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Middle_Age 31-54</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Middle_Age 31-54</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Middle_Age 31-54</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Middle_Age 31-54</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Middle_Age 31-54</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38</v>
      </c>
      <c r="D643" s="3">
        <v>50000</v>
      </c>
      <c r="E643">
        <v>4</v>
      </c>
      <c r="F643" t="s">
        <v>13</v>
      </c>
      <c r="G643" t="s">
        <v>28</v>
      </c>
      <c r="H643" t="s">
        <v>15</v>
      </c>
      <c r="I643">
        <v>2</v>
      </c>
      <c r="J643" t="s">
        <v>30</v>
      </c>
      <c r="K643" t="s">
        <v>32</v>
      </c>
      <c r="L643">
        <v>64</v>
      </c>
      <c r="M643" t="str">
        <f t="shared" ref="M643:M706" si="10">IF(L643&lt;31,"Adolescent 0-30",IF(L643&lt;55,"Middle_Age 31-54","Old 55+"))</f>
        <v>Old 55+</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Middle_Age 31-54</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Middle_Age 31-54</v>
      </c>
      <c r="N645" t="s">
        <v>15</v>
      </c>
    </row>
    <row r="646" spans="1:14" x14ac:dyDescent="0.3">
      <c r="A646">
        <v>23368</v>
      </c>
      <c r="B646" t="s">
        <v>36</v>
      </c>
      <c r="C646" t="s">
        <v>39</v>
      </c>
      <c r="D646" s="3">
        <v>60000</v>
      </c>
      <c r="E646">
        <v>5</v>
      </c>
      <c r="F646" t="s">
        <v>13</v>
      </c>
      <c r="G646" t="s">
        <v>14</v>
      </c>
      <c r="H646" t="s">
        <v>15</v>
      </c>
      <c r="I646">
        <v>3</v>
      </c>
      <c r="J646" t="s">
        <v>30</v>
      </c>
      <c r="K646" t="s">
        <v>32</v>
      </c>
      <c r="L646">
        <v>41</v>
      </c>
      <c r="M646" t="str">
        <f t="shared" si="10"/>
        <v>Middle_Age 31-54</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Middle_Age 31-54</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Middle_Age 31-54</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Middle_Age 31-54</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Middle_Age 31-54</v>
      </c>
      <c r="N651" t="s">
        <v>15</v>
      </c>
    </row>
    <row r="652" spans="1:14" x14ac:dyDescent="0.3">
      <c r="A652">
        <v>18435</v>
      </c>
      <c r="B652" t="s">
        <v>37</v>
      </c>
      <c r="C652" t="s">
        <v>39</v>
      </c>
      <c r="D652" s="3">
        <v>70000</v>
      </c>
      <c r="E652">
        <v>5</v>
      </c>
      <c r="F652" t="s">
        <v>31</v>
      </c>
      <c r="G652" t="s">
        <v>28</v>
      </c>
      <c r="H652" t="s">
        <v>15</v>
      </c>
      <c r="I652">
        <v>2</v>
      </c>
      <c r="J652" t="s">
        <v>30</v>
      </c>
      <c r="K652" t="s">
        <v>32</v>
      </c>
      <c r="L652">
        <v>67</v>
      </c>
      <c r="M652" t="str">
        <f t="shared" si="10"/>
        <v>Old 55+</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Middle_Age 31-54</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Middle_Age 31-54</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Middle_Age 31-54</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Middle_Age 31-54</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Middle_Age 31-54</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Middle_Age 31-54</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Middle_Age 31-54</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Middle_Age 31-54</v>
      </c>
      <c r="N660" t="s">
        <v>15</v>
      </c>
    </row>
    <row r="661" spans="1:14" x14ac:dyDescent="0.3">
      <c r="A661">
        <v>24643</v>
      </c>
      <c r="B661" t="s">
        <v>37</v>
      </c>
      <c r="C661" t="s">
        <v>39</v>
      </c>
      <c r="D661" s="3">
        <v>60000</v>
      </c>
      <c r="E661">
        <v>4</v>
      </c>
      <c r="F661" t="s">
        <v>13</v>
      </c>
      <c r="G661" t="s">
        <v>28</v>
      </c>
      <c r="H661" t="s">
        <v>15</v>
      </c>
      <c r="I661">
        <v>2</v>
      </c>
      <c r="J661" t="s">
        <v>30</v>
      </c>
      <c r="K661" t="s">
        <v>32</v>
      </c>
      <c r="L661">
        <v>63</v>
      </c>
      <c r="M661" t="str">
        <f t="shared" si="10"/>
        <v>Old 55+</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Middle_Age 31-54</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Middle_Age 31-54</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Middle_Age 31-54</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Middle_Age 31-54</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Middle_Age 31-54</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Middle_Age 31-54</v>
      </c>
      <c r="N668" t="s">
        <v>15</v>
      </c>
    </row>
    <row r="669" spans="1:14" x14ac:dyDescent="0.3">
      <c r="A669">
        <v>20505</v>
      </c>
      <c r="B669" t="s">
        <v>36</v>
      </c>
      <c r="C669" t="s">
        <v>39</v>
      </c>
      <c r="D669" s="3">
        <v>40000</v>
      </c>
      <c r="E669">
        <v>5</v>
      </c>
      <c r="F669" t="s">
        <v>27</v>
      </c>
      <c r="G669" t="s">
        <v>21</v>
      </c>
      <c r="H669" t="s">
        <v>18</v>
      </c>
      <c r="I669">
        <v>2</v>
      </c>
      <c r="J669" t="s">
        <v>30</v>
      </c>
      <c r="K669" t="s">
        <v>32</v>
      </c>
      <c r="L669">
        <v>61</v>
      </c>
      <c r="M669" t="str">
        <f t="shared" si="10"/>
        <v>Old 55+</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Middle_Age 31-54</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Middle_Age 31-54</v>
      </c>
      <c r="N671" t="s">
        <v>18</v>
      </c>
    </row>
    <row r="672" spans="1:14" x14ac:dyDescent="0.3">
      <c r="A672">
        <v>21471</v>
      </c>
      <c r="B672" t="s">
        <v>36</v>
      </c>
      <c r="C672" t="s">
        <v>38</v>
      </c>
      <c r="D672" s="3">
        <v>70000</v>
      </c>
      <c r="E672">
        <v>2</v>
      </c>
      <c r="F672" t="s">
        <v>19</v>
      </c>
      <c r="G672" t="s">
        <v>21</v>
      </c>
      <c r="H672" t="s">
        <v>15</v>
      </c>
      <c r="I672">
        <v>1</v>
      </c>
      <c r="J672" t="s">
        <v>30</v>
      </c>
      <c r="K672" t="s">
        <v>32</v>
      </c>
      <c r="L672">
        <v>59</v>
      </c>
      <c r="M672" t="str">
        <f t="shared" si="10"/>
        <v>Old 55+</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Middle_Age 31-54</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Middle_Age 31-54</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Middle_Age 31-54</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Middle_Age 31-54</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Middle_Age 31-54</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Middle_Age 31-54</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38</v>
      </c>
      <c r="D681" s="3">
        <v>60000</v>
      </c>
      <c r="E681">
        <v>4</v>
      </c>
      <c r="F681" t="s">
        <v>13</v>
      </c>
      <c r="G681" t="s">
        <v>28</v>
      </c>
      <c r="H681" t="s">
        <v>15</v>
      </c>
      <c r="I681">
        <v>2</v>
      </c>
      <c r="J681" t="s">
        <v>30</v>
      </c>
      <c r="K681" t="s">
        <v>32</v>
      </c>
      <c r="L681">
        <v>60</v>
      </c>
      <c r="M681" t="str">
        <f t="shared" si="10"/>
        <v>Old 55+</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Middle_Age 31-54</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Middle_Age 31-54</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Middle_Age 31-54</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Middle_Age 31-54</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Middle_Age 31-54</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Middle_Age 31-54</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Middle_Age 31-54</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Middle_Age 31-54</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Middle_Age 31-54</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Middle_Age 31-54</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Middle_Age 31-54</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Middle_Age 31-54</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Middle_Age 31-54</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Middle_Age 31-54</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Middle_Age 31-54</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Middle_Age 31-54</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Middle_Age 31-54</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Middle_Age 31-54</v>
      </c>
      <c r="N706" t="s">
        <v>15</v>
      </c>
    </row>
    <row r="707" spans="1:14" x14ac:dyDescent="0.3">
      <c r="A707">
        <v>11199</v>
      </c>
      <c r="B707" t="s">
        <v>36</v>
      </c>
      <c r="C707" t="s">
        <v>39</v>
      </c>
      <c r="D707" s="3">
        <v>70000</v>
      </c>
      <c r="E707">
        <v>4</v>
      </c>
      <c r="F707" t="s">
        <v>13</v>
      </c>
      <c r="G707" t="s">
        <v>28</v>
      </c>
      <c r="H707" t="s">
        <v>15</v>
      </c>
      <c r="I707">
        <v>1</v>
      </c>
      <c r="J707" t="s">
        <v>30</v>
      </c>
      <c r="K707" t="s">
        <v>32</v>
      </c>
      <c r="L707">
        <v>59</v>
      </c>
      <c r="M707" t="str">
        <f t="shared" ref="M707:M770" si="11">IF(L707&lt;31,"Adolescent 0-30",IF(L707&lt;55,"Middle_Age 31-54","Old 55+"))</f>
        <v>Old 55+</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Middle_Age 31-54</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Middle_Age 31-54</v>
      </c>
      <c r="N709" t="s">
        <v>15</v>
      </c>
    </row>
    <row r="710" spans="1:14" x14ac:dyDescent="0.3">
      <c r="A710">
        <v>18069</v>
      </c>
      <c r="B710" t="s">
        <v>36</v>
      </c>
      <c r="C710" t="s">
        <v>38</v>
      </c>
      <c r="D710" s="3">
        <v>70000</v>
      </c>
      <c r="E710">
        <v>5</v>
      </c>
      <c r="F710" t="s">
        <v>13</v>
      </c>
      <c r="G710" t="s">
        <v>28</v>
      </c>
      <c r="H710" t="s">
        <v>15</v>
      </c>
      <c r="I710">
        <v>4</v>
      </c>
      <c r="J710" t="s">
        <v>30</v>
      </c>
      <c r="K710" t="s">
        <v>32</v>
      </c>
      <c r="L710">
        <v>60</v>
      </c>
      <c r="M710" t="str">
        <f t="shared" si="11"/>
        <v>Old 55+</v>
      </c>
      <c r="N710" t="s">
        <v>18</v>
      </c>
    </row>
    <row r="711" spans="1:14" x14ac:dyDescent="0.3">
      <c r="A711">
        <v>23712</v>
      </c>
      <c r="B711" t="s">
        <v>37</v>
      </c>
      <c r="C711" t="s">
        <v>39</v>
      </c>
      <c r="D711" s="3">
        <v>70000</v>
      </c>
      <c r="E711">
        <v>2</v>
      </c>
      <c r="F711" t="s">
        <v>13</v>
      </c>
      <c r="G711" t="s">
        <v>28</v>
      </c>
      <c r="H711" t="s">
        <v>15</v>
      </c>
      <c r="I711">
        <v>1</v>
      </c>
      <c r="J711" t="s">
        <v>30</v>
      </c>
      <c r="K711" t="s">
        <v>32</v>
      </c>
      <c r="L711">
        <v>59</v>
      </c>
      <c r="M711" t="str">
        <f t="shared" si="11"/>
        <v>Old 55+</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Middle_Age 31-54</v>
      </c>
      <c r="N712" t="s">
        <v>15</v>
      </c>
    </row>
    <row r="713" spans="1:14" x14ac:dyDescent="0.3">
      <c r="A713">
        <v>20518</v>
      </c>
      <c r="B713" t="s">
        <v>36</v>
      </c>
      <c r="C713" t="s">
        <v>39</v>
      </c>
      <c r="D713" s="3">
        <v>70000</v>
      </c>
      <c r="E713">
        <v>2</v>
      </c>
      <c r="F713" t="s">
        <v>19</v>
      </c>
      <c r="G713" t="s">
        <v>21</v>
      </c>
      <c r="H713" t="s">
        <v>15</v>
      </c>
      <c r="I713">
        <v>1</v>
      </c>
      <c r="J713" t="s">
        <v>30</v>
      </c>
      <c r="K713" t="s">
        <v>32</v>
      </c>
      <c r="L713">
        <v>58</v>
      </c>
      <c r="M713" t="str">
        <f t="shared" si="11"/>
        <v>Old 55+</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Middle_Age 31-54</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Middle_Age 31-54</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Middle_Age 31-54</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Middle_Age 31-54</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Middle_Age 31-54</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Middle_Age 31-54</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Middle_Age 31-54</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Middle_Age 31-54</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Middle_Age 31-54</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Middle_Age 31-54</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Middle_Age 31-54</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Middle_Age 31-54</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Middle_Age 31-54</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Middle_Age 31-54</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Middle_Age 31-54</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Middle_Age 31-54</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Middle_Age 31-54</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Middle_Age 31-54</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Middle_Age 31-54</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Middle_Age 31-54</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Middle_Age 31-54</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Middle_Age 31-54</v>
      </c>
      <c r="N740" t="s">
        <v>15</v>
      </c>
    </row>
    <row r="741" spans="1:14" x14ac:dyDescent="0.3">
      <c r="A741">
        <v>11225</v>
      </c>
      <c r="B741" t="s">
        <v>36</v>
      </c>
      <c r="C741" t="s">
        <v>39</v>
      </c>
      <c r="D741" s="3">
        <v>60000</v>
      </c>
      <c r="E741">
        <v>2</v>
      </c>
      <c r="F741" t="s">
        <v>19</v>
      </c>
      <c r="G741" t="s">
        <v>21</v>
      </c>
      <c r="H741" t="s">
        <v>15</v>
      </c>
      <c r="I741">
        <v>1</v>
      </c>
      <c r="J741" t="s">
        <v>30</v>
      </c>
      <c r="K741" t="s">
        <v>32</v>
      </c>
      <c r="L741">
        <v>55</v>
      </c>
      <c r="M741" t="str">
        <f t="shared" si="11"/>
        <v>Old 55+</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Middle_Age 31-54</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Middle_Age 31-54</v>
      </c>
      <c r="N745" t="s">
        <v>18</v>
      </c>
    </row>
    <row r="746" spans="1:14" x14ac:dyDescent="0.3">
      <c r="A746">
        <v>20535</v>
      </c>
      <c r="B746" t="s">
        <v>36</v>
      </c>
      <c r="C746" t="s">
        <v>39</v>
      </c>
      <c r="D746" s="3">
        <v>70000</v>
      </c>
      <c r="E746">
        <v>4</v>
      </c>
      <c r="F746" t="s">
        <v>19</v>
      </c>
      <c r="G746" t="s">
        <v>21</v>
      </c>
      <c r="H746" t="s">
        <v>15</v>
      </c>
      <c r="I746">
        <v>1</v>
      </c>
      <c r="J746" t="s">
        <v>30</v>
      </c>
      <c r="K746" t="s">
        <v>32</v>
      </c>
      <c r="L746">
        <v>56</v>
      </c>
      <c r="M746" t="str">
        <f t="shared" si="11"/>
        <v>Old 55+</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Middle_Age 31-54</v>
      </c>
      <c r="N747" t="s">
        <v>15</v>
      </c>
    </row>
    <row r="748" spans="1:14" x14ac:dyDescent="0.3">
      <c r="A748">
        <v>28043</v>
      </c>
      <c r="B748" t="s">
        <v>36</v>
      </c>
      <c r="C748" t="s">
        <v>39</v>
      </c>
      <c r="D748" s="3">
        <v>60000</v>
      </c>
      <c r="E748">
        <v>2</v>
      </c>
      <c r="F748" t="s">
        <v>13</v>
      </c>
      <c r="G748" t="s">
        <v>28</v>
      </c>
      <c r="H748" t="s">
        <v>15</v>
      </c>
      <c r="I748">
        <v>0</v>
      </c>
      <c r="J748" t="s">
        <v>30</v>
      </c>
      <c r="K748" t="s">
        <v>32</v>
      </c>
      <c r="L748">
        <v>56</v>
      </c>
      <c r="M748" t="str">
        <f t="shared" si="11"/>
        <v>Old 55+</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Middle_Age 31-54</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Middle_Age 31-54</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Middle_Age 31-54</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Middle_Age 31-54</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Middle_Age 31-54</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Middle_Age 31-54</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Middle_Age 31-54</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Middle_Age 31-54</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Middle_Age 31-54</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Middle_Age 31-54</v>
      </c>
      <c r="N762" t="s">
        <v>18</v>
      </c>
    </row>
    <row r="763" spans="1:14" x14ac:dyDescent="0.3">
      <c r="A763">
        <v>13216</v>
      </c>
      <c r="B763" t="s">
        <v>36</v>
      </c>
      <c r="C763" t="s">
        <v>39</v>
      </c>
      <c r="D763" s="3">
        <v>60000</v>
      </c>
      <c r="E763">
        <v>5</v>
      </c>
      <c r="F763" t="s">
        <v>13</v>
      </c>
      <c r="G763" t="s">
        <v>28</v>
      </c>
      <c r="H763" t="s">
        <v>15</v>
      </c>
      <c r="I763">
        <v>3</v>
      </c>
      <c r="J763" t="s">
        <v>30</v>
      </c>
      <c r="K763" t="s">
        <v>32</v>
      </c>
      <c r="L763">
        <v>59</v>
      </c>
      <c r="M763" t="str">
        <f t="shared" si="11"/>
        <v>Old 55+</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Middle_Age 31-54</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Middle_Age 31-54</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Middle_Age 31-54</v>
      </c>
      <c r="N767" t="s">
        <v>15</v>
      </c>
    </row>
    <row r="768" spans="1:14" x14ac:dyDescent="0.3">
      <c r="A768">
        <v>14608</v>
      </c>
      <c r="B768" t="s">
        <v>36</v>
      </c>
      <c r="C768" t="s">
        <v>38</v>
      </c>
      <c r="D768" s="3">
        <v>50000</v>
      </c>
      <c r="E768">
        <v>4</v>
      </c>
      <c r="F768" t="s">
        <v>13</v>
      </c>
      <c r="G768" t="s">
        <v>14</v>
      </c>
      <c r="H768" t="s">
        <v>15</v>
      </c>
      <c r="I768">
        <v>3</v>
      </c>
      <c r="J768" t="s">
        <v>30</v>
      </c>
      <c r="K768" t="s">
        <v>32</v>
      </c>
      <c r="L768">
        <v>42</v>
      </c>
      <c r="M768" t="str">
        <f t="shared" si="11"/>
        <v>Middle_Age 31-54</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Middle_Age 31-54</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IF(L771&lt;31,"Adolescent 0-30",IF(L771&lt;55,"Middle_Age 31-54","Old 55+"))</f>
        <v>Middle_Age 31-54</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Middle_Age 31-54</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Middle_Age 31-54</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Middle_Age 31-54</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Middle_Age 31-54</v>
      </c>
      <c r="N776" t="s">
        <v>15</v>
      </c>
    </row>
    <row r="777" spans="1:14" x14ac:dyDescent="0.3">
      <c r="A777">
        <v>29030</v>
      </c>
      <c r="B777" t="s">
        <v>36</v>
      </c>
      <c r="C777" t="s">
        <v>38</v>
      </c>
      <c r="D777" s="3">
        <v>70000</v>
      </c>
      <c r="E777">
        <v>2</v>
      </c>
      <c r="F777" t="s">
        <v>29</v>
      </c>
      <c r="G777" t="s">
        <v>14</v>
      </c>
      <c r="H777" t="s">
        <v>15</v>
      </c>
      <c r="I777">
        <v>2</v>
      </c>
      <c r="J777" t="s">
        <v>30</v>
      </c>
      <c r="K777" t="s">
        <v>32</v>
      </c>
      <c r="L777">
        <v>54</v>
      </c>
      <c r="M777" t="str">
        <f t="shared" si="12"/>
        <v>Middle_Age 31-54</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Middle_Age 31-54</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Middle_Age 31-54</v>
      </c>
      <c r="N781" t="s">
        <v>15</v>
      </c>
    </row>
    <row r="782" spans="1:14" x14ac:dyDescent="0.3">
      <c r="A782">
        <v>18105</v>
      </c>
      <c r="B782" t="s">
        <v>36</v>
      </c>
      <c r="C782" t="s">
        <v>39</v>
      </c>
      <c r="D782" s="3">
        <v>60000</v>
      </c>
      <c r="E782">
        <v>2</v>
      </c>
      <c r="F782" t="s">
        <v>19</v>
      </c>
      <c r="G782" t="s">
        <v>21</v>
      </c>
      <c r="H782" t="s">
        <v>15</v>
      </c>
      <c r="I782">
        <v>1</v>
      </c>
      <c r="J782" t="s">
        <v>30</v>
      </c>
      <c r="K782" t="s">
        <v>32</v>
      </c>
      <c r="L782">
        <v>55</v>
      </c>
      <c r="M782" t="str">
        <f t="shared" si="12"/>
        <v>Old 55+</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Middle_Age 31-54</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Middle_Age 31-54</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Middle_Age 31-54</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Middle_Age 31-54</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Middle_Age 31-54</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Middle_Age 31-54</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Middle_Age 31-54</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Middle_Age 31-54</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Middle_Age 31-54</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Middle_Age 31-54</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Middle_Age 31-54</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Middle_Age 31-54</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Middle_Age 31-54</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Middle_Age 31-54</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Middle_Age 31-54</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Middle_Age 31-54</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Middle_Age 31-54</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Middle_Age 31-54</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Middle_Age 31-54</v>
      </c>
      <c r="N813" t="s">
        <v>18</v>
      </c>
    </row>
    <row r="814" spans="1:14" x14ac:dyDescent="0.3">
      <c r="A814">
        <v>15749</v>
      </c>
      <c r="B814" t="s">
        <v>37</v>
      </c>
      <c r="C814" t="s">
        <v>39</v>
      </c>
      <c r="D814" s="3">
        <v>70000</v>
      </c>
      <c r="E814">
        <v>4</v>
      </c>
      <c r="F814" t="s">
        <v>13</v>
      </c>
      <c r="G814" t="s">
        <v>28</v>
      </c>
      <c r="H814" t="s">
        <v>15</v>
      </c>
      <c r="I814">
        <v>2</v>
      </c>
      <c r="J814" t="s">
        <v>30</v>
      </c>
      <c r="K814" t="s">
        <v>32</v>
      </c>
      <c r="L814">
        <v>61</v>
      </c>
      <c r="M814" t="str">
        <f t="shared" si="12"/>
        <v>Old 55+</v>
      </c>
      <c r="N814" t="s">
        <v>18</v>
      </c>
    </row>
    <row r="815" spans="1:14" x14ac:dyDescent="0.3">
      <c r="A815">
        <v>25899</v>
      </c>
      <c r="B815" t="s">
        <v>36</v>
      </c>
      <c r="C815" t="s">
        <v>39</v>
      </c>
      <c r="D815" s="3">
        <v>70000</v>
      </c>
      <c r="E815">
        <v>2</v>
      </c>
      <c r="F815" t="s">
        <v>27</v>
      </c>
      <c r="G815" t="s">
        <v>21</v>
      </c>
      <c r="H815" t="s">
        <v>15</v>
      </c>
      <c r="I815">
        <v>2</v>
      </c>
      <c r="J815" t="s">
        <v>30</v>
      </c>
      <c r="K815" t="s">
        <v>32</v>
      </c>
      <c r="L815">
        <v>53</v>
      </c>
      <c r="M815" t="str">
        <f t="shared" si="12"/>
        <v>Middle_Age 31-54</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Middle_Age 31-54</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Middle_Age 31-54</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Middle_Age 31-54</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Middle_Age 31-54</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Middle_Age 31-54</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Middle_Age 31-54</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Middle_Age 31-54</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Middle_Age 31-54</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Middle_Age 31-54</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Middle_Age 31-54</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Middle_Age 31-54</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Middle_Age 31-54</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Middle_Age 31-54</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IF(L835&lt;31,"Adolescent 0-30",IF(L835&lt;55,"Middle_Age 31-54","Old 55+"))</f>
        <v>Middle_Age 31-54</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Middle_Age 31-54</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Middle_Age 31-54</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Middle_Age 31-54</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Middle_Age 31-54</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Middle_Age 31-54</v>
      </c>
      <c r="N841" t="s">
        <v>15</v>
      </c>
    </row>
    <row r="842" spans="1:14" x14ac:dyDescent="0.3">
      <c r="A842">
        <v>11233</v>
      </c>
      <c r="B842" t="s">
        <v>36</v>
      </c>
      <c r="C842" t="s">
        <v>38</v>
      </c>
      <c r="D842" s="3">
        <v>70000</v>
      </c>
      <c r="E842">
        <v>4</v>
      </c>
      <c r="F842" t="s">
        <v>19</v>
      </c>
      <c r="G842" t="s">
        <v>21</v>
      </c>
      <c r="H842" t="s">
        <v>15</v>
      </c>
      <c r="I842">
        <v>2</v>
      </c>
      <c r="J842" t="s">
        <v>30</v>
      </c>
      <c r="K842" t="s">
        <v>32</v>
      </c>
      <c r="L842">
        <v>53</v>
      </c>
      <c r="M842" t="str">
        <f t="shared" si="13"/>
        <v>Middle_Age 31-54</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Middle_Age 31-54</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Middle_Age 31-54</v>
      </c>
      <c r="N845" t="s">
        <v>18</v>
      </c>
    </row>
    <row r="846" spans="1:14" x14ac:dyDescent="0.3">
      <c r="A846">
        <v>22743</v>
      </c>
      <c r="B846" t="s">
        <v>36</v>
      </c>
      <c r="C846" t="s">
        <v>39</v>
      </c>
      <c r="D846" s="3">
        <v>40000</v>
      </c>
      <c r="E846">
        <v>5</v>
      </c>
      <c r="F846" t="s">
        <v>27</v>
      </c>
      <c r="G846" t="s">
        <v>21</v>
      </c>
      <c r="H846" t="s">
        <v>15</v>
      </c>
      <c r="I846">
        <v>2</v>
      </c>
      <c r="J846" t="s">
        <v>30</v>
      </c>
      <c r="K846" t="s">
        <v>32</v>
      </c>
      <c r="L846">
        <v>60</v>
      </c>
      <c r="M846" t="str">
        <f t="shared" si="13"/>
        <v>Old 55+</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Middle_Age 31-54</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Middle_Age 31-54</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Middle_Age 31-54</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Middle_Age 31-54</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Middle_Age 31-54</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Middle_Age 31-54</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Middle_Age 31-54</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Middle_Age 31-54</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Middle_Age 31-54</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Middle_Age 31-54</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Middle_Age 31-54</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Middle_Age 31-54</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Middle_Age 31-54</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Middle_Age 31-54</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Middle_Age 31-54</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Middle_Age 31-54</v>
      </c>
      <c r="N867" t="s">
        <v>15</v>
      </c>
    </row>
    <row r="868" spans="1:14" x14ac:dyDescent="0.3">
      <c r="A868">
        <v>28052</v>
      </c>
      <c r="B868" t="s">
        <v>36</v>
      </c>
      <c r="C868" t="s">
        <v>38</v>
      </c>
      <c r="D868" s="3">
        <v>60000</v>
      </c>
      <c r="E868">
        <v>2</v>
      </c>
      <c r="F868" t="s">
        <v>27</v>
      </c>
      <c r="G868" t="s">
        <v>21</v>
      </c>
      <c r="H868" t="s">
        <v>15</v>
      </c>
      <c r="I868">
        <v>2</v>
      </c>
      <c r="J868" t="s">
        <v>30</v>
      </c>
      <c r="K868" t="s">
        <v>32</v>
      </c>
      <c r="L868">
        <v>55</v>
      </c>
      <c r="M868" t="str">
        <f t="shared" si="13"/>
        <v>Old 55+</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Middle_Age 31-54</v>
      </c>
      <c r="N869" t="s">
        <v>18</v>
      </c>
    </row>
    <row r="870" spans="1:14" x14ac:dyDescent="0.3">
      <c r="A870">
        <v>24955</v>
      </c>
      <c r="B870" t="s">
        <v>37</v>
      </c>
      <c r="C870" t="s">
        <v>38</v>
      </c>
      <c r="D870" s="3">
        <v>30000</v>
      </c>
      <c r="E870">
        <v>5</v>
      </c>
      <c r="F870" t="s">
        <v>29</v>
      </c>
      <c r="G870" t="s">
        <v>14</v>
      </c>
      <c r="H870" t="s">
        <v>15</v>
      </c>
      <c r="I870">
        <v>3</v>
      </c>
      <c r="J870" t="s">
        <v>30</v>
      </c>
      <c r="K870" t="s">
        <v>32</v>
      </c>
      <c r="L870">
        <v>60</v>
      </c>
      <c r="M870" t="str">
        <f t="shared" si="13"/>
        <v>Old 55+</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Middle_Age 31-54</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Middle_Age 31-54</v>
      </c>
      <c r="N872" t="s">
        <v>18</v>
      </c>
    </row>
    <row r="873" spans="1:14" x14ac:dyDescent="0.3">
      <c r="A873">
        <v>11219</v>
      </c>
      <c r="B873" t="s">
        <v>36</v>
      </c>
      <c r="C873" t="s">
        <v>38</v>
      </c>
      <c r="D873" s="3">
        <v>60000</v>
      </c>
      <c r="E873">
        <v>2</v>
      </c>
      <c r="F873" t="s">
        <v>27</v>
      </c>
      <c r="G873" t="s">
        <v>21</v>
      </c>
      <c r="H873" t="s">
        <v>15</v>
      </c>
      <c r="I873">
        <v>2</v>
      </c>
      <c r="J873" t="s">
        <v>30</v>
      </c>
      <c r="K873" t="s">
        <v>32</v>
      </c>
      <c r="L873">
        <v>55</v>
      </c>
      <c r="M873" t="str">
        <f t="shared" si="13"/>
        <v>Old 55+</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Middle_Age 31-54</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Middle_Age 31-54</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Middle_Age 31-54</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Middle_Age 31-54</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Middle_Age 31-54</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Middle_Age 31-54</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Middle_Age 31-54</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Middle_Age 31-54</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Middle_Age 31-54</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Middle_Age 31-54</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Middle_Age 31-54</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Middle_Age 31-54</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Middle_Age 31-54</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Middle_Age 31-54</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Middle_Age 31-54</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Middle_Age 31-54</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Middle_Age 31-54</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Middle_Age 31-54</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IF(L899&lt;31,"Adolescent 0-30",IF(L899&lt;55,"Middle_Age 31-54","Old 55+"))</f>
        <v>Adolescent 0-30</v>
      </c>
      <c r="N899" t="s">
        <v>18</v>
      </c>
    </row>
    <row r="900" spans="1:14" x14ac:dyDescent="0.3">
      <c r="A900">
        <v>18066</v>
      </c>
      <c r="B900" t="s">
        <v>37</v>
      </c>
      <c r="C900" t="s">
        <v>38</v>
      </c>
      <c r="D900" s="3">
        <v>70000</v>
      </c>
      <c r="E900">
        <v>5</v>
      </c>
      <c r="F900" t="s">
        <v>13</v>
      </c>
      <c r="G900" t="s">
        <v>28</v>
      </c>
      <c r="H900" t="s">
        <v>15</v>
      </c>
      <c r="I900">
        <v>3</v>
      </c>
      <c r="J900" t="s">
        <v>30</v>
      </c>
      <c r="K900" t="s">
        <v>32</v>
      </c>
      <c r="L900">
        <v>60</v>
      </c>
      <c r="M900" t="str">
        <f t="shared" si="14"/>
        <v>Old 55+</v>
      </c>
      <c r="N900" t="s">
        <v>15</v>
      </c>
    </row>
    <row r="901" spans="1:14" x14ac:dyDescent="0.3">
      <c r="A901">
        <v>28192</v>
      </c>
      <c r="B901" t="s">
        <v>36</v>
      </c>
      <c r="C901" t="s">
        <v>39</v>
      </c>
      <c r="D901" s="3">
        <v>70000</v>
      </c>
      <c r="E901">
        <v>5</v>
      </c>
      <c r="F901" t="s">
        <v>31</v>
      </c>
      <c r="G901" t="s">
        <v>21</v>
      </c>
      <c r="H901" t="s">
        <v>15</v>
      </c>
      <c r="I901">
        <v>3</v>
      </c>
      <c r="J901" t="s">
        <v>30</v>
      </c>
      <c r="K901" t="s">
        <v>32</v>
      </c>
      <c r="L901">
        <v>46</v>
      </c>
      <c r="M901" t="str">
        <f t="shared" si="14"/>
        <v>Middle_Age 31-54</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Middle_Age 31-54</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Middle_Age 31-54</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Middle_Age 31-54</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Middle_Age 31-54</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Middle_Age 31-54</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Middle_Age 31-54</v>
      </c>
      <c r="N908" t="s">
        <v>15</v>
      </c>
    </row>
    <row r="909" spans="1:14" x14ac:dyDescent="0.3">
      <c r="A909">
        <v>19747</v>
      </c>
      <c r="B909" t="s">
        <v>36</v>
      </c>
      <c r="C909" t="s">
        <v>38</v>
      </c>
      <c r="D909" s="3">
        <v>50000</v>
      </c>
      <c r="E909">
        <v>4</v>
      </c>
      <c r="F909" t="s">
        <v>13</v>
      </c>
      <c r="G909" t="s">
        <v>28</v>
      </c>
      <c r="H909" t="s">
        <v>15</v>
      </c>
      <c r="I909">
        <v>2</v>
      </c>
      <c r="J909" t="s">
        <v>30</v>
      </c>
      <c r="K909" t="s">
        <v>32</v>
      </c>
      <c r="L909">
        <v>63</v>
      </c>
      <c r="M909" t="str">
        <f t="shared" si="14"/>
        <v>Old 55+</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Middle_Age 31-54</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Middle_Age 31-54</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Middle_Age 31-54</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Middle_Age 31-54</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Middle_Age 31-54</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Middle_Age 31-54</v>
      </c>
      <c r="N916" t="s">
        <v>18</v>
      </c>
    </row>
    <row r="917" spans="1:14" x14ac:dyDescent="0.3">
      <c r="A917">
        <v>21752</v>
      </c>
      <c r="B917" t="s">
        <v>36</v>
      </c>
      <c r="C917" t="s">
        <v>38</v>
      </c>
      <c r="D917" s="3">
        <v>60000</v>
      </c>
      <c r="E917">
        <v>3</v>
      </c>
      <c r="F917" t="s">
        <v>31</v>
      </c>
      <c r="G917" t="s">
        <v>28</v>
      </c>
      <c r="H917" t="s">
        <v>15</v>
      </c>
      <c r="I917">
        <v>2</v>
      </c>
      <c r="J917" t="s">
        <v>30</v>
      </c>
      <c r="K917" t="s">
        <v>32</v>
      </c>
      <c r="L917">
        <v>64</v>
      </c>
      <c r="M917" t="str">
        <f t="shared" si="14"/>
        <v>Old 55+</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Middle_Age 31-54</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Middle_Age 31-54</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Middle_Age 31-54</v>
      </c>
      <c r="N920" t="s">
        <v>15</v>
      </c>
    </row>
    <row r="921" spans="1:14" x14ac:dyDescent="0.3">
      <c r="A921">
        <v>21451</v>
      </c>
      <c r="B921" t="s">
        <v>36</v>
      </c>
      <c r="C921" t="s">
        <v>39</v>
      </c>
      <c r="D921" s="3">
        <v>40000</v>
      </c>
      <c r="E921">
        <v>4</v>
      </c>
      <c r="F921" t="s">
        <v>27</v>
      </c>
      <c r="G921" t="s">
        <v>21</v>
      </c>
      <c r="H921" t="s">
        <v>15</v>
      </c>
      <c r="I921">
        <v>2</v>
      </c>
      <c r="J921" t="s">
        <v>30</v>
      </c>
      <c r="K921" t="s">
        <v>32</v>
      </c>
      <c r="L921">
        <v>61</v>
      </c>
      <c r="M921" t="str">
        <f t="shared" si="14"/>
        <v>Old 55+</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Middle_Age 31-54</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Middle_Age 31-54</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Middle_Age 31-54</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Middle_Age 31-54</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Middle_Age 31-54</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Middle_Age 31-54</v>
      </c>
      <c r="N927" t="s">
        <v>15</v>
      </c>
    </row>
    <row r="928" spans="1:14" x14ac:dyDescent="0.3">
      <c r="A928">
        <v>26495</v>
      </c>
      <c r="B928" t="s">
        <v>37</v>
      </c>
      <c r="C928" t="s">
        <v>39</v>
      </c>
      <c r="D928" s="3">
        <v>40000</v>
      </c>
      <c r="E928">
        <v>2</v>
      </c>
      <c r="F928" t="s">
        <v>27</v>
      </c>
      <c r="G928" t="s">
        <v>21</v>
      </c>
      <c r="H928" t="s">
        <v>15</v>
      </c>
      <c r="I928">
        <v>2</v>
      </c>
      <c r="J928" t="s">
        <v>30</v>
      </c>
      <c r="K928" t="s">
        <v>32</v>
      </c>
      <c r="L928">
        <v>57</v>
      </c>
      <c r="M928" t="str">
        <f t="shared" si="14"/>
        <v>Old 55+</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Middle_Age 31-54</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Middle_Age 31-54</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Middle_Age 31-54</v>
      </c>
      <c r="N931" t="s">
        <v>18</v>
      </c>
    </row>
    <row r="932" spans="1:14" x14ac:dyDescent="0.3">
      <c r="A932">
        <v>19543</v>
      </c>
      <c r="B932" t="s">
        <v>36</v>
      </c>
      <c r="C932" t="s">
        <v>38</v>
      </c>
      <c r="D932" s="3">
        <v>70000</v>
      </c>
      <c r="E932">
        <v>5</v>
      </c>
      <c r="F932" t="s">
        <v>31</v>
      </c>
      <c r="G932" t="s">
        <v>21</v>
      </c>
      <c r="H932" t="s">
        <v>18</v>
      </c>
      <c r="I932">
        <v>3</v>
      </c>
      <c r="J932" t="s">
        <v>30</v>
      </c>
      <c r="K932" t="s">
        <v>32</v>
      </c>
      <c r="L932">
        <v>47</v>
      </c>
      <c r="M932" t="str">
        <f t="shared" si="14"/>
        <v>Middle_Age 31-54</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Middle_Age 31-54</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Middle_Age 31-54</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Middle_Age 31-54</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Middle_Age 31-54</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Middle_Age 31-54</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Middle_Age 31-54</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Middle_Age 31-54</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Middle_Age 31-54</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Middle_Age 31-54</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Middle_Age 31-54</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Middle_Age 31-54</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Middle_Age 31-54</v>
      </c>
      <c r="N950" t="s">
        <v>18</v>
      </c>
    </row>
    <row r="951" spans="1:14" x14ac:dyDescent="0.3">
      <c r="A951">
        <v>28056</v>
      </c>
      <c r="B951" t="s">
        <v>36</v>
      </c>
      <c r="C951" t="s">
        <v>38</v>
      </c>
      <c r="D951" s="3">
        <v>70000</v>
      </c>
      <c r="E951">
        <v>2</v>
      </c>
      <c r="F951" t="s">
        <v>29</v>
      </c>
      <c r="G951" t="s">
        <v>14</v>
      </c>
      <c r="H951" t="s">
        <v>15</v>
      </c>
      <c r="I951">
        <v>2</v>
      </c>
      <c r="J951" t="s">
        <v>30</v>
      </c>
      <c r="K951" t="s">
        <v>32</v>
      </c>
      <c r="L951">
        <v>53</v>
      </c>
      <c r="M951" t="str">
        <f t="shared" si="14"/>
        <v>Middle_Age 31-54</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Middle_Age 31-54</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Middle_Age 31-54</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Middle_Age 31-54</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Middle_Age 31-54</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Middle_Age 31-54</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Middle_Age 31-54</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Middle_Age 31-54</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Middle_Age 31-54</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IF(L963&lt;31,"Adolescent 0-30",IF(L963&lt;55,"Middle_Age 31-54","Old 55+"))</f>
        <v>Old 55+</v>
      </c>
      <c r="N963" t="s">
        <v>18</v>
      </c>
    </row>
    <row r="964" spans="1:14" x14ac:dyDescent="0.3">
      <c r="A964">
        <v>16813</v>
      </c>
      <c r="B964" t="s">
        <v>36</v>
      </c>
      <c r="C964" t="s">
        <v>38</v>
      </c>
      <c r="D964" s="3">
        <v>60000</v>
      </c>
      <c r="E964">
        <v>2</v>
      </c>
      <c r="F964" t="s">
        <v>19</v>
      </c>
      <c r="G964" t="s">
        <v>21</v>
      </c>
      <c r="H964" t="s">
        <v>15</v>
      </c>
      <c r="I964">
        <v>2</v>
      </c>
      <c r="J964" t="s">
        <v>30</v>
      </c>
      <c r="K964" t="s">
        <v>32</v>
      </c>
      <c r="L964">
        <v>55</v>
      </c>
      <c r="M964" t="str">
        <f t="shared" si="15"/>
        <v>Old 55+</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38</v>
      </c>
      <c r="D966" s="3">
        <v>70000</v>
      </c>
      <c r="E966">
        <v>4</v>
      </c>
      <c r="F966" t="s">
        <v>19</v>
      </c>
      <c r="G966" t="s">
        <v>21</v>
      </c>
      <c r="H966" t="s">
        <v>15</v>
      </c>
      <c r="I966">
        <v>1</v>
      </c>
      <c r="J966" t="s">
        <v>30</v>
      </c>
      <c r="K966" t="s">
        <v>32</v>
      </c>
      <c r="L966">
        <v>56</v>
      </c>
      <c r="M966" t="str">
        <f t="shared" si="15"/>
        <v>Old 55+</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Middle_Age 31-54</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Middle_Age 31-54</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Middle_Age 31-54</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Middle_Age 31-54</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Middle_Age 31-54</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Middle_Age 31-54</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Middle_Age 31-54</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Middle_Age 31-54</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Middle_Age 31-54</v>
      </c>
      <c r="N977" t="s">
        <v>15</v>
      </c>
    </row>
    <row r="978" spans="1:14" x14ac:dyDescent="0.3">
      <c r="A978">
        <v>28004</v>
      </c>
      <c r="B978" t="s">
        <v>36</v>
      </c>
      <c r="C978" t="s">
        <v>39</v>
      </c>
      <c r="D978" s="3">
        <v>60000</v>
      </c>
      <c r="E978">
        <v>3</v>
      </c>
      <c r="F978" t="s">
        <v>13</v>
      </c>
      <c r="G978" t="s">
        <v>28</v>
      </c>
      <c r="H978" t="s">
        <v>15</v>
      </c>
      <c r="I978">
        <v>2</v>
      </c>
      <c r="J978" t="s">
        <v>30</v>
      </c>
      <c r="K978" t="s">
        <v>32</v>
      </c>
      <c r="L978">
        <v>66</v>
      </c>
      <c r="M978" t="str">
        <f t="shared" si="15"/>
        <v>Old 55+</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Middle_Age 31-54</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Middle_Age 31-54</v>
      </c>
      <c r="N981" t="s">
        <v>18</v>
      </c>
    </row>
    <row r="982" spans="1:14" x14ac:dyDescent="0.3">
      <c r="A982">
        <v>18594</v>
      </c>
      <c r="B982" t="s">
        <v>37</v>
      </c>
      <c r="C982" t="s">
        <v>39</v>
      </c>
      <c r="D982" s="3">
        <v>80000</v>
      </c>
      <c r="E982">
        <v>3</v>
      </c>
      <c r="F982" t="s">
        <v>13</v>
      </c>
      <c r="G982" t="s">
        <v>14</v>
      </c>
      <c r="H982" t="s">
        <v>15</v>
      </c>
      <c r="I982">
        <v>3</v>
      </c>
      <c r="J982" t="s">
        <v>30</v>
      </c>
      <c r="K982" t="s">
        <v>32</v>
      </c>
      <c r="L982">
        <v>40</v>
      </c>
      <c r="M982" t="str">
        <f t="shared" si="15"/>
        <v>Middle_Age 31-54</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Middle_Age 31-54</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Middle_Age 31-54</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Middle_Age 31-54</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Middle_Age 31-54</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Middle_Age 31-54</v>
      </c>
      <c r="N987" t="s">
        <v>18</v>
      </c>
    </row>
    <row r="988" spans="1:14" x14ac:dyDescent="0.3">
      <c r="A988">
        <v>23704</v>
      </c>
      <c r="B988" t="s">
        <v>37</v>
      </c>
      <c r="C988" t="s">
        <v>38</v>
      </c>
      <c r="D988" s="3">
        <v>40000</v>
      </c>
      <c r="E988">
        <v>5</v>
      </c>
      <c r="F988" t="s">
        <v>27</v>
      </c>
      <c r="G988" t="s">
        <v>21</v>
      </c>
      <c r="H988" t="s">
        <v>15</v>
      </c>
      <c r="I988">
        <v>4</v>
      </c>
      <c r="J988" t="s">
        <v>30</v>
      </c>
      <c r="K988" t="s">
        <v>32</v>
      </c>
      <c r="L988">
        <v>60</v>
      </c>
      <c r="M988" t="str">
        <f t="shared" si="15"/>
        <v>Old 55+</v>
      </c>
      <c r="N988" t="s">
        <v>15</v>
      </c>
    </row>
    <row r="989" spans="1:14" x14ac:dyDescent="0.3">
      <c r="A989">
        <v>28972</v>
      </c>
      <c r="B989" t="s">
        <v>37</v>
      </c>
      <c r="C989" t="s">
        <v>39</v>
      </c>
      <c r="D989" s="3">
        <v>60000</v>
      </c>
      <c r="E989">
        <v>3</v>
      </c>
      <c r="F989" t="s">
        <v>31</v>
      </c>
      <c r="G989" t="s">
        <v>28</v>
      </c>
      <c r="H989" t="s">
        <v>15</v>
      </c>
      <c r="I989">
        <v>2</v>
      </c>
      <c r="J989" t="s">
        <v>30</v>
      </c>
      <c r="K989" t="s">
        <v>32</v>
      </c>
      <c r="L989">
        <v>66</v>
      </c>
      <c r="M989" t="str">
        <f t="shared" si="15"/>
        <v>Old 55+</v>
      </c>
      <c r="N989" t="s">
        <v>18</v>
      </c>
    </row>
    <row r="990" spans="1:14" x14ac:dyDescent="0.3">
      <c r="A990">
        <v>22730</v>
      </c>
      <c r="B990" t="s">
        <v>36</v>
      </c>
      <c r="C990" t="s">
        <v>38</v>
      </c>
      <c r="D990" s="3">
        <v>70000</v>
      </c>
      <c r="E990">
        <v>5</v>
      </c>
      <c r="F990" t="s">
        <v>13</v>
      </c>
      <c r="G990" t="s">
        <v>28</v>
      </c>
      <c r="H990" t="s">
        <v>15</v>
      </c>
      <c r="I990">
        <v>2</v>
      </c>
      <c r="J990" t="s">
        <v>30</v>
      </c>
      <c r="K990" t="s">
        <v>32</v>
      </c>
      <c r="L990">
        <v>63</v>
      </c>
      <c r="M990" t="str">
        <f t="shared" si="15"/>
        <v>Old 55+</v>
      </c>
      <c r="N990" t="s">
        <v>18</v>
      </c>
    </row>
    <row r="991" spans="1:14" x14ac:dyDescent="0.3">
      <c r="A991">
        <v>29134</v>
      </c>
      <c r="B991" t="s">
        <v>36</v>
      </c>
      <c r="C991" t="s">
        <v>38</v>
      </c>
      <c r="D991" s="3">
        <v>60000</v>
      </c>
      <c r="E991">
        <v>4</v>
      </c>
      <c r="F991" t="s">
        <v>13</v>
      </c>
      <c r="G991" t="s">
        <v>14</v>
      </c>
      <c r="H991" t="s">
        <v>18</v>
      </c>
      <c r="I991">
        <v>3</v>
      </c>
      <c r="J991" t="s">
        <v>30</v>
      </c>
      <c r="K991" t="s">
        <v>32</v>
      </c>
      <c r="L991">
        <v>42</v>
      </c>
      <c r="M991" t="str">
        <f t="shared" si="15"/>
        <v>Middle_Age 31-54</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Middle_Age 31-54</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Middle_Age 31-54</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Middle_Age 31-54</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Middle_Age 31-54</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Middle_Age 31-54</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Middle_Age 31-54</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Middle_Age 31-54</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Middle_Age 31-54</v>
      </c>
      <c r="N1000" t="s">
        <v>18</v>
      </c>
    </row>
    <row r="1001" spans="1:14" x14ac:dyDescent="0.3">
      <c r="A1001">
        <v>12121</v>
      </c>
      <c r="B1001" t="s">
        <v>37</v>
      </c>
      <c r="C1001" t="s">
        <v>38</v>
      </c>
      <c r="D1001" s="3">
        <v>60000</v>
      </c>
      <c r="E1001">
        <v>3</v>
      </c>
      <c r="F1001" t="s">
        <v>27</v>
      </c>
      <c r="G1001" t="s">
        <v>21</v>
      </c>
      <c r="H1001" t="s">
        <v>15</v>
      </c>
      <c r="I1001">
        <v>2</v>
      </c>
      <c r="J1001" t="s">
        <v>30</v>
      </c>
      <c r="K1001" t="s">
        <v>32</v>
      </c>
      <c r="L1001">
        <v>53</v>
      </c>
      <c r="M1001" t="str">
        <f t="shared" si="15"/>
        <v>Middle_Age 31-54</v>
      </c>
      <c r="N1001" t="s">
        <v>15</v>
      </c>
    </row>
  </sheetData>
  <autoFilter ref="A1:N1001" xr:uid="{00000000-0001-0000-0000-000000000000}"/>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B6323-7523-4FE9-B361-4A3A43A40026}">
  <dimension ref="A2:D104"/>
  <sheetViews>
    <sheetView topLeftCell="A4" workbookViewId="0">
      <selection activeCell="P21" sqref="P2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4" t="s">
        <v>43</v>
      </c>
      <c r="B2" s="4" t="s">
        <v>44</v>
      </c>
    </row>
    <row r="3" spans="1:4" x14ac:dyDescent="0.3">
      <c r="A3" s="4" t="s">
        <v>41</v>
      </c>
      <c r="B3" t="s">
        <v>18</v>
      </c>
      <c r="C3" t="s">
        <v>15</v>
      </c>
      <c r="D3" t="s">
        <v>42</v>
      </c>
    </row>
    <row r="4" spans="1:4" x14ac:dyDescent="0.3">
      <c r="A4" s="5" t="s">
        <v>39</v>
      </c>
      <c r="B4" s="3">
        <v>53440</v>
      </c>
      <c r="C4" s="3">
        <v>55774.058577405856</v>
      </c>
      <c r="D4" s="3">
        <v>54580.777096114522</v>
      </c>
    </row>
    <row r="5" spans="1:4" x14ac:dyDescent="0.3">
      <c r="A5" s="5" t="s">
        <v>38</v>
      </c>
      <c r="B5" s="3">
        <v>56208.178438661707</v>
      </c>
      <c r="C5" s="3">
        <v>60123.966942148763</v>
      </c>
      <c r="D5" s="3">
        <v>58062.62230919765</v>
      </c>
    </row>
    <row r="6" spans="1:4" x14ac:dyDescent="0.3">
      <c r="A6" s="5" t="s">
        <v>42</v>
      </c>
      <c r="B6" s="3">
        <v>54874.759152215796</v>
      </c>
      <c r="C6" s="3">
        <v>57962.577962577961</v>
      </c>
      <c r="D6" s="3">
        <v>56360</v>
      </c>
    </row>
    <row r="18" spans="1:4" x14ac:dyDescent="0.3">
      <c r="A18" s="4" t="s">
        <v>45</v>
      </c>
      <c r="B18" s="4" t="s">
        <v>44</v>
      </c>
    </row>
    <row r="19" spans="1:4" x14ac:dyDescent="0.3">
      <c r="A19" s="4" t="s">
        <v>41</v>
      </c>
      <c r="B19" t="s">
        <v>18</v>
      </c>
      <c r="C19" t="s">
        <v>15</v>
      </c>
      <c r="D19" t="s">
        <v>42</v>
      </c>
    </row>
    <row r="20" spans="1:4" x14ac:dyDescent="0.3">
      <c r="A20" s="5" t="s">
        <v>16</v>
      </c>
      <c r="B20">
        <v>166</v>
      </c>
      <c r="C20">
        <v>200</v>
      </c>
      <c r="D20">
        <v>366</v>
      </c>
    </row>
    <row r="21" spans="1:4" x14ac:dyDescent="0.3">
      <c r="A21" s="5" t="s">
        <v>26</v>
      </c>
      <c r="B21">
        <v>92</v>
      </c>
      <c r="C21">
        <v>77</v>
      </c>
      <c r="D21">
        <v>169</v>
      </c>
    </row>
    <row r="22" spans="1:4" x14ac:dyDescent="0.3">
      <c r="A22" s="5" t="s">
        <v>22</v>
      </c>
      <c r="B22">
        <v>67</v>
      </c>
      <c r="C22">
        <v>95</v>
      </c>
      <c r="D22">
        <v>162</v>
      </c>
    </row>
    <row r="23" spans="1:4" x14ac:dyDescent="0.3">
      <c r="A23" s="5" t="s">
        <v>23</v>
      </c>
      <c r="B23">
        <v>116</v>
      </c>
      <c r="C23">
        <v>76</v>
      </c>
      <c r="D23">
        <v>192</v>
      </c>
    </row>
    <row r="24" spans="1:4" x14ac:dyDescent="0.3">
      <c r="A24" s="5" t="s">
        <v>30</v>
      </c>
      <c r="B24">
        <v>78</v>
      </c>
      <c r="C24">
        <v>33</v>
      </c>
      <c r="D24">
        <v>111</v>
      </c>
    </row>
    <row r="25" spans="1:4" x14ac:dyDescent="0.3">
      <c r="A25" s="5" t="s">
        <v>42</v>
      </c>
      <c r="B25">
        <v>519</v>
      </c>
      <c r="C25">
        <v>481</v>
      </c>
      <c r="D25">
        <v>1000</v>
      </c>
    </row>
    <row r="34" spans="1:4" x14ac:dyDescent="0.3">
      <c r="A34" s="4" t="s">
        <v>45</v>
      </c>
      <c r="B34" s="4" t="s">
        <v>44</v>
      </c>
    </row>
    <row r="35" spans="1:4" x14ac:dyDescent="0.3">
      <c r="A35" s="4" t="s">
        <v>41</v>
      </c>
      <c r="B35" t="s">
        <v>18</v>
      </c>
      <c r="C35" t="s">
        <v>15</v>
      </c>
      <c r="D35" t="s">
        <v>42</v>
      </c>
    </row>
    <row r="36" spans="1:4" x14ac:dyDescent="0.3">
      <c r="A36" s="5" t="s">
        <v>48</v>
      </c>
      <c r="B36">
        <v>71</v>
      </c>
      <c r="C36">
        <v>39</v>
      </c>
      <c r="D36">
        <v>110</v>
      </c>
    </row>
    <row r="37" spans="1:4" x14ac:dyDescent="0.3">
      <c r="A37" s="5" t="s">
        <v>46</v>
      </c>
      <c r="B37">
        <v>318</v>
      </c>
      <c r="C37">
        <v>383</v>
      </c>
      <c r="D37">
        <v>701</v>
      </c>
    </row>
    <row r="38" spans="1:4" x14ac:dyDescent="0.3">
      <c r="A38" s="5" t="s">
        <v>47</v>
      </c>
      <c r="B38">
        <v>130</v>
      </c>
      <c r="C38">
        <v>59</v>
      </c>
      <c r="D38">
        <v>189</v>
      </c>
    </row>
    <row r="39" spans="1:4" x14ac:dyDescent="0.3">
      <c r="A39" s="5" t="s">
        <v>42</v>
      </c>
      <c r="B39">
        <v>519</v>
      </c>
      <c r="C39">
        <v>481</v>
      </c>
      <c r="D39">
        <v>1000</v>
      </c>
    </row>
    <row r="49" spans="1:4" x14ac:dyDescent="0.3">
      <c r="A49" s="4" t="s">
        <v>45</v>
      </c>
      <c r="B49" s="4" t="s">
        <v>44</v>
      </c>
    </row>
    <row r="50" spans="1:4" x14ac:dyDescent="0.3">
      <c r="A50" s="4" t="s">
        <v>41</v>
      </c>
      <c r="B50" t="s">
        <v>18</v>
      </c>
      <c r="C50" t="s">
        <v>15</v>
      </c>
      <c r="D50" t="s">
        <v>42</v>
      </c>
    </row>
    <row r="51" spans="1:4" x14ac:dyDescent="0.3">
      <c r="A51" s="5">
        <v>25</v>
      </c>
      <c r="B51">
        <v>2</v>
      </c>
      <c r="C51">
        <v>4</v>
      </c>
      <c r="D51">
        <v>6</v>
      </c>
    </row>
    <row r="52" spans="1:4" x14ac:dyDescent="0.3">
      <c r="A52" s="5">
        <v>26</v>
      </c>
      <c r="B52">
        <v>8</v>
      </c>
      <c r="C52">
        <v>8</v>
      </c>
      <c r="D52">
        <v>16</v>
      </c>
    </row>
    <row r="53" spans="1:4" x14ac:dyDescent="0.3">
      <c r="A53" s="5">
        <v>27</v>
      </c>
      <c r="B53">
        <v>15</v>
      </c>
      <c r="C53">
        <v>8</v>
      </c>
      <c r="D53">
        <v>23</v>
      </c>
    </row>
    <row r="54" spans="1:4" x14ac:dyDescent="0.3">
      <c r="A54" s="5">
        <v>28</v>
      </c>
      <c r="B54">
        <v>12</v>
      </c>
      <c r="C54">
        <v>10</v>
      </c>
      <c r="D54">
        <v>22</v>
      </c>
    </row>
    <row r="55" spans="1:4" x14ac:dyDescent="0.3">
      <c r="A55" s="5">
        <v>29</v>
      </c>
      <c r="B55">
        <v>11</v>
      </c>
      <c r="C55">
        <v>5</v>
      </c>
      <c r="D55">
        <v>16</v>
      </c>
    </row>
    <row r="56" spans="1:4" x14ac:dyDescent="0.3">
      <c r="A56" s="5">
        <v>30</v>
      </c>
      <c r="B56">
        <v>23</v>
      </c>
      <c r="C56">
        <v>4</v>
      </c>
      <c r="D56">
        <v>27</v>
      </c>
    </row>
    <row r="57" spans="1:4" x14ac:dyDescent="0.3">
      <c r="A57" s="5">
        <v>31</v>
      </c>
      <c r="B57">
        <v>17</v>
      </c>
      <c r="C57">
        <v>8</v>
      </c>
      <c r="D57">
        <v>25</v>
      </c>
    </row>
    <row r="58" spans="1:4" x14ac:dyDescent="0.3">
      <c r="A58" s="5">
        <v>32</v>
      </c>
      <c r="B58">
        <v>19</v>
      </c>
      <c r="C58">
        <v>14</v>
      </c>
      <c r="D58">
        <v>33</v>
      </c>
    </row>
    <row r="59" spans="1:4" x14ac:dyDescent="0.3">
      <c r="A59" s="5">
        <v>33</v>
      </c>
      <c r="B59">
        <v>8</v>
      </c>
      <c r="C59">
        <v>13</v>
      </c>
      <c r="D59">
        <v>21</v>
      </c>
    </row>
    <row r="60" spans="1:4" x14ac:dyDescent="0.3">
      <c r="A60" s="5">
        <v>34</v>
      </c>
      <c r="B60">
        <v>12</v>
      </c>
      <c r="C60">
        <v>19</v>
      </c>
      <c r="D60">
        <v>31</v>
      </c>
    </row>
    <row r="61" spans="1:4" x14ac:dyDescent="0.3">
      <c r="A61" s="5">
        <v>35</v>
      </c>
      <c r="B61">
        <v>14</v>
      </c>
      <c r="C61">
        <v>22</v>
      </c>
      <c r="D61">
        <v>36</v>
      </c>
    </row>
    <row r="62" spans="1:4" x14ac:dyDescent="0.3">
      <c r="A62" s="5">
        <v>36</v>
      </c>
      <c r="B62">
        <v>7</v>
      </c>
      <c r="C62">
        <v>30</v>
      </c>
      <c r="D62">
        <v>37</v>
      </c>
    </row>
    <row r="63" spans="1:4" x14ac:dyDescent="0.3">
      <c r="A63" s="5">
        <v>37</v>
      </c>
      <c r="B63">
        <v>4</v>
      </c>
      <c r="C63">
        <v>28</v>
      </c>
      <c r="D63">
        <v>32</v>
      </c>
    </row>
    <row r="64" spans="1:4" x14ac:dyDescent="0.3">
      <c r="A64" s="5">
        <v>38</v>
      </c>
      <c r="B64">
        <v>8</v>
      </c>
      <c r="C64">
        <v>29</v>
      </c>
      <c r="D64">
        <v>37</v>
      </c>
    </row>
    <row r="65" spans="1:4" x14ac:dyDescent="0.3">
      <c r="A65" s="5">
        <v>39</v>
      </c>
      <c r="B65">
        <v>10</v>
      </c>
      <c r="C65">
        <v>12</v>
      </c>
      <c r="D65">
        <v>22</v>
      </c>
    </row>
    <row r="66" spans="1:4" x14ac:dyDescent="0.3">
      <c r="A66" s="5">
        <v>40</v>
      </c>
      <c r="B66">
        <v>24</v>
      </c>
      <c r="C66">
        <v>18</v>
      </c>
      <c r="D66">
        <v>42</v>
      </c>
    </row>
    <row r="67" spans="1:4" x14ac:dyDescent="0.3">
      <c r="A67" s="5">
        <v>41</v>
      </c>
      <c r="B67">
        <v>13</v>
      </c>
      <c r="C67">
        <v>15</v>
      </c>
      <c r="D67">
        <v>28</v>
      </c>
    </row>
    <row r="68" spans="1:4" x14ac:dyDescent="0.3">
      <c r="A68" s="5">
        <v>42</v>
      </c>
      <c r="B68">
        <v>22</v>
      </c>
      <c r="C68">
        <v>12</v>
      </c>
      <c r="D68">
        <v>34</v>
      </c>
    </row>
    <row r="69" spans="1:4" x14ac:dyDescent="0.3">
      <c r="A69" s="5">
        <v>43</v>
      </c>
      <c r="B69">
        <v>17</v>
      </c>
      <c r="C69">
        <v>19</v>
      </c>
      <c r="D69">
        <v>36</v>
      </c>
    </row>
    <row r="70" spans="1:4" x14ac:dyDescent="0.3">
      <c r="A70" s="5">
        <v>44</v>
      </c>
      <c r="B70">
        <v>15</v>
      </c>
      <c r="C70">
        <v>12</v>
      </c>
      <c r="D70">
        <v>27</v>
      </c>
    </row>
    <row r="71" spans="1:4" x14ac:dyDescent="0.3">
      <c r="A71" s="5">
        <v>45</v>
      </c>
      <c r="B71">
        <v>18</v>
      </c>
      <c r="C71">
        <v>13</v>
      </c>
      <c r="D71">
        <v>31</v>
      </c>
    </row>
    <row r="72" spans="1:4" x14ac:dyDescent="0.3">
      <c r="A72" s="5">
        <v>46</v>
      </c>
      <c r="B72">
        <v>12</v>
      </c>
      <c r="C72">
        <v>15</v>
      </c>
      <c r="D72">
        <v>27</v>
      </c>
    </row>
    <row r="73" spans="1:4" x14ac:dyDescent="0.3">
      <c r="A73" s="5">
        <v>47</v>
      </c>
      <c r="B73">
        <v>19</v>
      </c>
      <c r="C73">
        <v>20</v>
      </c>
      <c r="D73">
        <v>39</v>
      </c>
    </row>
    <row r="74" spans="1:4" x14ac:dyDescent="0.3">
      <c r="A74" s="5">
        <v>48</v>
      </c>
      <c r="B74">
        <v>16</v>
      </c>
      <c r="C74">
        <v>13</v>
      </c>
      <c r="D74">
        <v>29</v>
      </c>
    </row>
    <row r="75" spans="1:4" x14ac:dyDescent="0.3">
      <c r="A75" s="5">
        <v>49</v>
      </c>
      <c r="B75">
        <v>15</v>
      </c>
      <c r="C75">
        <v>8</v>
      </c>
      <c r="D75">
        <v>23</v>
      </c>
    </row>
    <row r="76" spans="1:4" x14ac:dyDescent="0.3">
      <c r="A76" s="5">
        <v>50</v>
      </c>
      <c r="B76">
        <v>12</v>
      </c>
      <c r="C76">
        <v>12</v>
      </c>
      <c r="D76">
        <v>24</v>
      </c>
    </row>
    <row r="77" spans="1:4" x14ac:dyDescent="0.3">
      <c r="A77" s="5">
        <v>51</v>
      </c>
      <c r="B77">
        <v>10</v>
      </c>
      <c r="C77">
        <v>12</v>
      </c>
      <c r="D77">
        <v>22</v>
      </c>
    </row>
    <row r="78" spans="1:4" x14ac:dyDescent="0.3">
      <c r="A78" s="5">
        <v>52</v>
      </c>
      <c r="B78">
        <v>10</v>
      </c>
      <c r="C78">
        <v>15</v>
      </c>
      <c r="D78">
        <v>25</v>
      </c>
    </row>
    <row r="79" spans="1:4" x14ac:dyDescent="0.3">
      <c r="A79" s="5">
        <v>53</v>
      </c>
      <c r="B79">
        <v>11</v>
      </c>
      <c r="C79">
        <v>13</v>
      </c>
      <c r="D79">
        <v>24</v>
      </c>
    </row>
    <row r="80" spans="1:4" x14ac:dyDescent="0.3">
      <c r="A80" s="5">
        <v>54</v>
      </c>
      <c r="B80">
        <v>5</v>
      </c>
      <c r="C80">
        <v>11</v>
      </c>
      <c r="D80">
        <v>16</v>
      </c>
    </row>
    <row r="81" spans="1:4" x14ac:dyDescent="0.3">
      <c r="A81" s="5">
        <v>55</v>
      </c>
      <c r="B81">
        <v>13</v>
      </c>
      <c r="C81">
        <v>5</v>
      </c>
      <c r="D81">
        <v>18</v>
      </c>
    </row>
    <row r="82" spans="1:4" x14ac:dyDescent="0.3">
      <c r="A82" s="5">
        <v>56</v>
      </c>
      <c r="B82">
        <v>13</v>
      </c>
      <c r="C82">
        <v>3</v>
      </c>
      <c r="D82">
        <v>16</v>
      </c>
    </row>
    <row r="83" spans="1:4" x14ac:dyDescent="0.3">
      <c r="A83" s="5">
        <v>57</v>
      </c>
      <c r="B83">
        <v>4</v>
      </c>
      <c r="C83">
        <v>4</v>
      </c>
      <c r="D83">
        <v>8</v>
      </c>
    </row>
    <row r="84" spans="1:4" x14ac:dyDescent="0.3">
      <c r="A84" s="5">
        <v>58</v>
      </c>
      <c r="B84">
        <v>8</v>
      </c>
      <c r="C84">
        <v>4</v>
      </c>
      <c r="D84">
        <v>12</v>
      </c>
    </row>
    <row r="85" spans="1:4" x14ac:dyDescent="0.3">
      <c r="A85" s="5">
        <v>59</v>
      </c>
      <c r="B85">
        <v>14</v>
      </c>
      <c r="C85">
        <v>6</v>
      </c>
      <c r="D85">
        <v>20</v>
      </c>
    </row>
    <row r="86" spans="1:4" x14ac:dyDescent="0.3">
      <c r="A86" s="5">
        <v>60</v>
      </c>
      <c r="B86">
        <v>8</v>
      </c>
      <c r="C86">
        <v>7</v>
      </c>
      <c r="D86">
        <v>15</v>
      </c>
    </row>
    <row r="87" spans="1:4" x14ac:dyDescent="0.3">
      <c r="A87" s="5">
        <v>61</v>
      </c>
      <c r="B87">
        <v>5</v>
      </c>
      <c r="C87">
        <v>4</v>
      </c>
      <c r="D87">
        <v>9</v>
      </c>
    </row>
    <row r="88" spans="1:4" x14ac:dyDescent="0.3">
      <c r="A88" s="5">
        <v>62</v>
      </c>
      <c r="B88">
        <v>9</v>
      </c>
      <c r="C88">
        <v>4</v>
      </c>
      <c r="D88">
        <v>13</v>
      </c>
    </row>
    <row r="89" spans="1:4" x14ac:dyDescent="0.3">
      <c r="A89" s="5">
        <v>63</v>
      </c>
      <c r="B89">
        <v>7</v>
      </c>
      <c r="C89">
        <v>2</v>
      </c>
      <c r="D89">
        <v>9</v>
      </c>
    </row>
    <row r="90" spans="1:4" x14ac:dyDescent="0.3">
      <c r="A90" s="5">
        <v>64</v>
      </c>
      <c r="B90">
        <v>7</v>
      </c>
      <c r="C90">
        <v>3</v>
      </c>
      <c r="D90">
        <v>10</v>
      </c>
    </row>
    <row r="91" spans="1:4" x14ac:dyDescent="0.3">
      <c r="A91" s="5">
        <v>65</v>
      </c>
      <c r="B91">
        <v>6</v>
      </c>
      <c r="C91">
        <v>3</v>
      </c>
      <c r="D91">
        <v>9</v>
      </c>
    </row>
    <row r="92" spans="1:4" x14ac:dyDescent="0.3">
      <c r="A92" s="5">
        <v>66</v>
      </c>
      <c r="B92">
        <v>8</v>
      </c>
      <c r="C92">
        <v>6</v>
      </c>
      <c r="D92">
        <v>14</v>
      </c>
    </row>
    <row r="93" spans="1:4" x14ac:dyDescent="0.3">
      <c r="A93" s="5">
        <v>67</v>
      </c>
      <c r="B93">
        <v>8</v>
      </c>
      <c r="C93">
        <v>2</v>
      </c>
      <c r="D93">
        <v>10</v>
      </c>
    </row>
    <row r="94" spans="1:4" x14ac:dyDescent="0.3">
      <c r="A94" s="5">
        <v>68</v>
      </c>
      <c r="B94">
        <v>3</v>
      </c>
      <c r="D94">
        <v>3</v>
      </c>
    </row>
    <row r="95" spans="1:4" x14ac:dyDescent="0.3">
      <c r="A95" s="5">
        <v>69</v>
      </c>
      <c r="B95">
        <v>8</v>
      </c>
      <c r="D95">
        <v>8</v>
      </c>
    </row>
    <row r="96" spans="1:4" x14ac:dyDescent="0.3">
      <c r="A96" s="5">
        <v>70</v>
      </c>
      <c r="B96">
        <v>3</v>
      </c>
      <c r="C96">
        <v>1</v>
      </c>
      <c r="D96">
        <v>4</v>
      </c>
    </row>
    <row r="97" spans="1:4" x14ac:dyDescent="0.3">
      <c r="A97" s="5">
        <v>71</v>
      </c>
      <c r="B97">
        <v>1</v>
      </c>
      <c r="D97">
        <v>1</v>
      </c>
    </row>
    <row r="98" spans="1:4" x14ac:dyDescent="0.3">
      <c r="A98" s="5">
        <v>72</v>
      </c>
      <c r="C98">
        <v>1</v>
      </c>
      <c r="D98">
        <v>1</v>
      </c>
    </row>
    <row r="99" spans="1:4" x14ac:dyDescent="0.3">
      <c r="A99" s="5">
        <v>73</v>
      </c>
      <c r="B99">
        <v>2</v>
      </c>
      <c r="C99">
        <v>2</v>
      </c>
      <c r="D99">
        <v>4</v>
      </c>
    </row>
    <row r="100" spans="1:4" x14ac:dyDescent="0.3">
      <c r="A100" s="5">
        <v>74</v>
      </c>
      <c r="C100">
        <v>1</v>
      </c>
      <c r="D100">
        <v>1</v>
      </c>
    </row>
    <row r="101" spans="1:4" x14ac:dyDescent="0.3">
      <c r="A101" s="5">
        <v>78</v>
      </c>
      <c r="B101">
        <v>1</v>
      </c>
      <c r="C101">
        <v>1</v>
      </c>
      <c r="D101">
        <v>2</v>
      </c>
    </row>
    <row r="102" spans="1:4" x14ac:dyDescent="0.3">
      <c r="A102" s="5">
        <v>80</v>
      </c>
      <c r="B102">
        <v>1</v>
      </c>
      <c r="D102">
        <v>1</v>
      </c>
    </row>
    <row r="103" spans="1:4" x14ac:dyDescent="0.3">
      <c r="A103" s="5">
        <v>89</v>
      </c>
      <c r="B103">
        <v>1</v>
      </c>
      <c r="D103">
        <v>1</v>
      </c>
    </row>
    <row r="104" spans="1:4" x14ac:dyDescent="0.3">
      <c r="A104" s="5" t="s">
        <v>42</v>
      </c>
      <c r="B104">
        <v>519</v>
      </c>
      <c r="C104">
        <v>481</v>
      </c>
      <c r="D104">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raw_data</vt:lpstr>
      <vt:lpstr>bike_buyers_wroking_sheet</vt:lpstr>
      <vt:lpstr>Pivot_Tables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Constantinos Katris Bowles</cp:lastModifiedBy>
  <dcterms:created xsi:type="dcterms:W3CDTF">2022-03-18T02:50:57Z</dcterms:created>
  <dcterms:modified xsi:type="dcterms:W3CDTF">2026-07-20T11:18:24Z</dcterms:modified>
</cp:coreProperties>
</file>